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YOUTUBE\9. nsiv.io\6. MECANICA DE FLUIDOS\Perfil NACA\"/>
    </mc:Choice>
  </mc:AlternateContent>
  <xr:revisionPtr revIDLastSave="0" documentId="13_ncr:1_{4E6B4979-7258-46AB-87CD-2B6DB0AC7FE5}" xr6:coauthVersionLast="47" xr6:coauthVersionMax="47" xr10:uidLastSave="{00000000-0000-0000-0000-000000000000}"/>
  <bookViews>
    <workbookView xWindow="0" yWindow="30" windowWidth="27075" windowHeight="11385" xr2:uid="{3177D122-4B09-49D3-A801-4ED08CF4B229}"/>
  </bookViews>
  <sheets>
    <sheet name="nsiv.io" sheetId="1" r:id="rId1"/>
    <sheet name="Poi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D13" i="1" s="1"/>
  <c r="H7" i="1"/>
  <c r="G7" i="1"/>
  <c r="C80" i="1" l="1"/>
  <c r="D106" i="1"/>
  <c r="D101" i="1"/>
  <c r="D97" i="1"/>
  <c r="D92" i="1"/>
  <c r="D87" i="1"/>
  <c r="D55" i="1"/>
  <c r="D54" i="1"/>
  <c r="D100" i="1"/>
  <c r="D96" i="1"/>
  <c r="D89" i="1"/>
  <c r="D59" i="1"/>
  <c r="D53" i="1"/>
  <c r="D102" i="1"/>
  <c r="D94" i="1"/>
  <c r="D90" i="1"/>
  <c r="D84" i="1"/>
  <c r="D57" i="1"/>
  <c r="D52" i="1"/>
  <c r="D105" i="1"/>
  <c r="D103" i="1"/>
  <c r="D95" i="1"/>
  <c r="D88" i="1"/>
  <c r="D56" i="1"/>
  <c r="D51" i="1"/>
  <c r="D99" i="1"/>
  <c r="D93" i="1"/>
  <c r="D85" i="1"/>
  <c r="D58" i="1"/>
  <c r="D50" i="1"/>
  <c r="D104" i="1"/>
  <c r="D98" i="1"/>
  <c r="D91" i="1"/>
  <c r="D86" i="1"/>
  <c r="D60" i="1"/>
  <c r="D49" i="1"/>
  <c r="D48" i="1"/>
  <c r="D42" i="1"/>
  <c r="D41" i="1"/>
  <c r="D44" i="1"/>
  <c r="D40" i="1"/>
  <c r="D47" i="1"/>
  <c r="D43" i="1"/>
  <c r="D39" i="1"/>
  <c r="D38" i="1"/>
  <c r="D46" i="1"/>
  <c r="D108" i="1"/>
  <c r="D37" i="1"/>
  <c r="D45" i="1"/>
  <c r="D107" i="1"/>
  <c r="D36" i="1"/>
  <c r="C52" i="1"/>
  <c r="C49" i="1"/>
  <c r="E49" i="1" s="1"/>
  <c r="C44" i="1"/>
  <c r="C40" i="1"/>
  <c r="E40" i="1" s="1"/>
  <c r="C53" i="1"/>
  <c r="C50" i="1"/>
  <c r="E50" i="1" s="1"/>
  <c r="C42" i="1"/>
  <c r="C37" i="1"/>
  <c r="C79" i="1"/>
  <c r="E79" i="1" s="1"/>
  <c r="C51" i="1"/>
  <c r="C46" i="1"/>
  <c r="E46" i="1" s="1"/>
  <c r="C36" i="1"/>
  <c r="C54" i="1"/>
  <c r="E54" i="1" s="1"/>
  <c r="C47" i="1"/>
  <c r="E47" i="1" s="1"/>
  <c r="C43" i="1"/>
  <c r="C39" i="1"/>
  <c r="E39" i="1" s="1"/>
  <c r="C55" i="1"/>
  <c r="C48" i="1"/>
  <c r="C45" i="1"/>
  <c r="E45" i="1" s="1"/>
  <c r="C41" i="1"/>
  <c r="E41" i="1" s="1"/>
  <c r="C38" i="1"/>
  <c r="E38" i="1" s="1"/>
  <c r="C102" i="1"/>
  <c r="E102" i="1" s="1"/>
  <c r="C98" i="1"/>
  <c r="C91" i="1"/>
  <c r="C90" i="1"/>
  <c r="E90" i="1" s="1"/>
  <c r="C103" i="1"/>
  <c r="E103" i="1" s="1"/>
  <c r="C100" i="1"/>
  <c r="C97" i="1"/>
  <c r="E97" i="1" s="1"/>
  <c r="C86" i="1"/>
  <c r="E86" i="1" s="1"/>
  <c r="B13" i="1"/>
  <c r="C96" i="1"/>
  <c r="E96" i="1" s="1"/>
  <c r="C95" i="1"/>
  <c r="E95" i="1" s="1"/>
  <c r="C88" i="1"/>
  <c r="E88" i="1" s="1"/>
  <c r="C87" i="1"/>
  <c r="E87" i="1" s="1"/>
  <c r="C85" i="1"/>
  <c r="E85" i="1" s="1"/>
  <c r="C34" i="1"/>
  <c r="E34" i="1" s="1"/>
  <c r="C31" i="1"/>
  <c r="E31" i="1" s="1"/>
  <c r="C99" i="1"/>
  <c r="E99" i="1" s="1"/>
  <c r="C94" i="1"/>
  <c r="E94" i="1" s="1"/>
  <c r="C92" i="1"/>
  <c r="E92" i="1" s="1"/>
  <c r="C89" i="1"/>
  <c r="E89" i="1" s="1"/>
  <c r="C83" i="1"/>
  <c r="E83" i="1" s="1"/>
  <c r="C82" i="1"/>
  <c r="E82" i="1" s="1"/>
  <c r="C35" i="1"/>
  <c r="E35" i="1" s="1"/>
  <c r="C33" i="1"/>
  <c r="E33" i="1" s="1"/>
  <c r="C32" i="1"/>
  <c r="E32" i="1" s="1"/>
  <c r="C93" i="1"/>
  <c r="E93" i="1" s="1"/>
  <c r="C84" i="1"/>
  <c r="E84" i="1" s="1"/>
  <c r="C81" i="1"/>
  <c r="E81" i="1" s="1"/>
  <c r="C101" i="1"/>
  <c r="E101" i="1" s="1"/>
  <c r="D23" i="1"/>
  <c r="D20" i="1"/>
  <c r="D82" i="1"/>
  <c r="C76" i="1"/>
  <c r="C27" i="1"/>
  <c r="E27" i="1" s="1"/>
  <c r="D79" i="1"/>
  <c r="D30" i="1"/>
  <c r="B105" i="1"/>
  <c r="D28" i="1"/>
  <c r="C22" i="1"/>
  <c r="E22" i="1" s="1"/>
  <c r="C21" i="1"/>
  <c r="E21" i="1" s="1"/>
  <c r="C19" i="1"/>
  <c r="E19" i="1" s="1"/>
  <c r="D24" i="1"/>
  <c r="D22" i="1"/>
  <c r="D69" i="1"/>
  <c r="D68" i="1"/>
  <c r="D18" i="1"/>
  <c r="C108" i="1"/>
  <c r="E108" i="1" s="1"/>
  <c r="C60" i="1"/>
  <c r="E60" i="1" s="1"/>
  <c r="D12" i="1"/>
  <c r="D65" i="1"/>
  <c r="D17" i="1"/>
  <c r="C30" i="1"/>
  <c r="E30" i="1" s="1"/>
  <c r="D83" i="1"/>
  <c r="C77" i="1"/>
  <c r="E77" i="1" s="1"/>
  <c r="D33" i="1"/>
  <c r="B108" i="1"/>
  <c r="D31" i="1"/>
  <c r="B106" i="1"/>
  <c r="C24" i="1"/>
  <c r="E24" i="1" s="1"/>
  <c r="C23" i="1"/>
  <c r="E23" i="1" s="1"/>
  <c r="D75" i="1"/>
  <c r="D74" i="1"/>
  <c r="C20" i="1"/>
  <c r="E20" i="1" s="1"/>
  <c r="B100" i="1"/>
  <c r="D71" i="1"/>
  <c r="D70" i="1"/>
  <c r="C64" i="1"/>
  <c r="E64" i="1" s="1"/>
  <c r="C15" i="1"/>
  <c r="E15" i="1" s="1"/>
  <c r="C14" i="1"/>
  <c r="E14" i="1" s="1"/>
  <c r="C13" i="1"/>
  <c r="E13" i="1" s="1"/>
  <c r="C107" i="1"/>
  <c r="E107" i="1" s="1"/>
  <c r="C59" i="1"/>
  <c r="E59" i="1" s="1"/>
  <c r="D112" i="1"/>
  <c r="D64" i="1"/>
  <c r="D16" i="1"/>
  <c r="D35" i="1"/>
  <c r="C29" i="1"/>
  <c r="E29" i="1" s="1"/>
  <c r="D81" i="1"/>
  <c r="D80" i="1"/>
  <c r="C74" i="1"/>
  <c r="E74" i="1" s="1"/>
  <c r="D78" i="1"/>
  <c r="D77" i="1"/>
  <c r="C71" i="1"/>
  <c r="E71" i="1" s="1"/>
  <c r="B103" i="1"/>
  <c r="D26" i="1"/>
  <c r="C68" i="1"/>
  <c r="E68" i="1" s="1"/>
  <c r="C67" i="1"/>
  <c r="E67" i="1" s="1"/>
  <c r="C18" i="1"/>
  <c r="E18" i="1" s="1"/>
  <c r="C12" i="1"/>
  <c r="E12" i="1" s="1"/>
  <c r="D21" i="1"/>
  <c r="C110" i="1"/>
  <c r="E110" i="1" s="1"/>
  <c r="D67" i="1"/>
  <c r="C61" i="1"/>
  <c r="E61" i="1" s="1"/>
  <c r="C106" i="1"/>
  <c r="E106" i="1" s="1"/>
  <c r="C58" i="1"/>
  <c r="E58" i="1" s="1"/>
  <c r="D111" i="1"/>
  <c r="D63" i="1"/>
  <c r="D15" i="1"/>
  <c r="D32" i="1"/>
  <c r="B107" i="1"/>
  <c r="C73" i="1"/>
  <c r="E73" i="1" s="1"/>
  <c r="D29" i="1"/>
  <c r="B104" i="1"/>
  <c r="D27" i="1"/>
  <c r="B102" i="1"/>
  <c r="B101" i="1"/>
  <c r="D73" i="1"/>
  <c r="D72" i="1"/>
  <c r="C66" i="1"/>
  <c r="E66" i="1" s="1"/>
  <c r="C17" i="1"/>
  <c r="E17" i="1" s="1"/>
  <c r="C112" i="1"/>
  <c r="E112" i="1" s="1"/>
  <c r="C111" i="1"/>
  <c r="E111" i="1" s="1"/>
  <c r="D19" i="1"/>
  <c r="C109" i="1"/>
  <c r="E109" i="1" s="1"/>
  <c r="C105" i="1"/>
  <c r="E105" i="1" s="1"/>
  <c r="C57" i="1"/>
  <c r="E57" i="1" s="1"/>
  <c r="D110" i="1"/>
  <c r="D62" i="1"/>
  <c r="D14" i="1"/>
  <c r="C78" i="1"/>
  <c r="E78" i="1" s="1"/>
  <c r="D34" i="1"/>
  <c r="C28" i="1"/>
  <c r="E28" i="1" s="1"/>
  <c r="C75" i="1"/>
  <c r="E75" i="1" s="1"/>
  <c r="C26" i="1"/>
  <c r="E26" i="1" s="1"/>
  <c r="C25" i="1"/>
  <c r="E25" i="1" s="1"/>
  <c r="C72" i="1"/>
  <c r="E72" i="1" s="1"/>
  <c r="D76" i="1"/>
  <c r="C70" i="1"/>
  <c r="E70" i="1" s="1"/>
  <c r="C69" i="1"/>
  <c r="E69" i="1" s="1"/>
  <c r="D25" i="1"/>
  <c r="B89" i="1"/>
  <c r="C65" i="1"/>
  <c r="E65" i="1" s="1"/>
  <c r="C16" i="1"/>
  <c r="C63" i="1"/>
  <c r="E63" i="1" s="1"/>
  <c r="C62" i="1"/>
  <c r="E62" i="1" s="1"/>
  <c r="D66" i="1"/>
  <c r="C104" i="1"/>
  <c r="E104" i="1" s="1"/>
  <c r="C56" i="1"/>
  <c r="D109" i="1"/>
  <c r="D61" i="1"/>
  <c r="B98" i="1"/>
  <c r="B58" i="1"/>
  <c r="E56" i="1"/>
  <c r="E55" i="1"/>
  <c r="B54" i="1"/>
  <c r="B52" i="1"/>
  <c r="B51" i="1"/>
  <c r="B48" i="1"/>
  <c r="B47" i="1"/>
  <c r="E53" i="1"/>
  <c r="E51" i="1"/>
  <c r="B41" i="1"/>
  <c r="E48" i="1"/>
  <c r="B40" i="1"/>
  <c r="B99" i="1"/>
  <c r="B97" i="1"/>
  <c r="B95" i="1"/>
  <c r="B93" i="1"/>
  <c r="B91" i="1"/>
  <c r="B86" i="1"/>
  <c r="B85" i="1"/>
  <c r="B60" i="1"/>
  <c r="B57" i="1"/>
  <c r="B55" i="1"/>
  <c r="E100" i="1"/>
  <c r="B53" i="1"/>
  <c r="E98" i="1"/>
  <c r="B50" i="1"/>
  <c r="B45" i="1"/>
  <c r="B44" i="1"/>
  <c r="B39" i="1"/>
  <c r="B96" i="1"/>
  <c r="B94" i="1"/>
  <c r="B90" i="1"/>
  <c r="B59" i="1"/>
  <c r="B56" i="1"/>
  <c r="B49" i="1"/>
  <c r="B46" i="1"/>
  <c r="E52" i="1"/>
  <c r="B43" i="1"/>
  <c r="B42" i="1"/>
  <c r="B38" i="1"/>
  <c r="B92" i="1"/>
  <c r="B88" i="1"/>
  <c r="B87" i="1"/>
  <c r="B35" i="1"/>
  <c r="B30" i="1"/>
  <c r="B28" i="1"/>
  <c r="B26" i="1"/>
  <c r="B72" i="1"/>
  <c r="B68" i="1"/>
  <c r="B20" i="1"/>
  <c r="B33" i="1"/>
  <c r="B79" i="1"/>
  <c r="B76" i="1"/>
  <c r="B74" i="1"/>
  <c r="B17" i="1"/>
  <c r="B84" i="1"/>
  <c r="B82" i="1"/>
  <c r="B78" i="1"/>
  <c r="B75" i="1"/>
  <c r="B25" i="1"/>
  <c r="E91" i="1"/>
  <c r="B21" i="1"/>
  <c r="B19" i="1"/>
  <c r="B12" i="1"/>
  <c r="B112" i="1"/>
  <c r="B64" i="1"/>
  <c r="B16" i="1"/>
  <c r="B37" i="1"/>
  <c r="B83" i="1"/>
  <c r="B81" i="1"/>
  <c r="B31" i="1"/>
  <c r="B77" i="1"/>
  <c r="B27" i="1"/>
  <c r="B24" i="1"/>
  <c r="B71" i="1"/>
  <c r="B22" i="1"/>
  <c r="B67" i="1"/>
  <c r="B18" i="1"/>
  <c r="B111" i="1"/>
  <c r="B63" i="1"/>
  <c r="B15" i="1"/>
  <c r="B36" i="1"/>
  <c r="B34" i="1"/>
  <c r="B32" i="1"/>
  <c r="B73" i="1"/>
  <c r="B23" i="1"/>
  <c r="B70" i="1"/>
  <c r="B66" i="1"/>
  <c r="B110" i="1"/>
  <c r="B62" i="1"/>
  <c r="B14" i="1"/>
  <c r="E36" i="1"/>
  <c r="B80" i="1"/>
  <c r="B29" i="1"/>
  <c r="B69" i="1"/>
  <c r="B65" i="1"/>
  <c r="B109" i="1"/>
  <c r="B61" i="1"/>
  <c r="E76" i="1"/>
  <c r="E16" i="1"/>
  <c r="E43" i="1"/>
  <c r="E80" i="1"/>
  <c r="E44" i="1"/>
  <c r="E42" i="1"/>
  <c r="E37" i="1"/>
  <c r="F19" i="1" l="1"/>
  <c r="C95" i="2" s="1"/>
  <c r="H27" i="1"/>
  <c r="C117" i="2" s="1"/>
  <c r="F27" i="1"/>
  <c r="C87" i="2" s="1"/>
  <c r="H19" i="1"/>
  <c r="C109" i="2" s="1"/>
  <c r="H67" i="1"/>
  <c r="C157" i="2" s="1"/>
  <c r="F67" i="1"/>
  <c r="C47" i="2" s="1"/>
  <c r="F72" i="1"/>
  <c r="C42" i="2" s="1"/>
  <c r="H72" i="1"/>
  <c r="C162" i="2" s="1"/>
  <c r="F22" i="1"/>
  <c r="C92" i="2" s="1"/>
  <c r="H22" i="1"/>
  <c r="C112" i="2" s="1"/>
  <c r="F84" i="1"/>
  <c r="C30" i="2" s="1"/>
  <c r="H84" i="1"/>
  <c r="C174" i="2" s="1"/>
  <c r="F33" i="1"/>
  <c r="C81" i="2" s="1"/>
  <c r="H33" i="1"/>
  <c r="C123" i="2" s="1"/>
  <c r="F83" i="1"/>
  <c r="C31" i="2" s="1"/>
  <c r="H83" i="1"/>
  <c r="C173" i="2" s="1"/>
  <c r="H58" i="1"/>
  <c r="C148" i="2" s="1"/>
  <c r="F58" i="1"/>
  <c r="C56" i="2" s="1"/>
  <c r="H110" i="1"/>
  <c r="C200" i="2" s="1"/>
  <c r="F110" i="1"/>
  <c r="C4" i="2" s="1"/>
  <c r="F18" i="1"/>
  <c r="C96" i="2" s="1"/>
  <c r="H18" i="1"/>
  <c r="C108" i="2" s="1"/>
  <c r="H63" i="1"/>
  <c r="C153" i="2" s="1"/>
  <c r="F63" i="1"/>
  <c r="C51" i="2" s="1"/>
  <c r="H81" i="1"/>
  <c r="C171" i="2" s="1"/>
  <c r="F81" i="1"/>
  <c r="C33" i="2" s="1"/>
  <c r="H108" i="1"/>
  <c r="C198" i="2" s="1"/>
  <c r="F108" i="1"/>
  <c r="C6" i="2" s="1"/>
  <c r="H21" i="1"/>
  <c r="C111" i="2" s="1"/>
  <c r="F21" i="1"/>
  <c r="C93" i="2" s="1"/>
  <c r="F68" i="1"/>
  <c r="C46" i="2" s="1"/>
  <c r="H68" i="1"/>
  <c r="C158" i="2" s="1"/>
  <c r="H71" i="1"/>
  <c r="C161" i="2" s="1"/>
  <c r="F71" i="1"/>
  <c r="C43" i="2" s="1"/>
  <c r="H112" i="1"/>
  <c r="C202" i="2" s="1"/>
  <c r="F112" i="1"/>
  <c r="C2" i="2" s="1"/>
  <c r="H106" i="1"/>
  <c r="C196" i="2" s="1"/>
  <c r="F106" i="1"/>
  <c r="C8" i="2" s="1"/>
  <c r="F34" i="1"/>
  <c r="C80" i="2" s="1"/>
  <c r="H34" i="1"/>
  <c r="C124" i="2" s="1"/>
  <c r="F12" i="1"/>
  <c r="C102" i="2" s="1"/>
  <c r="H12" i="1"/>
  <c r="H62" i="1"/>
  <c r="C152" i="2" s="1"/>
  <c r="F62" i="1"/>
  <c r="C52" i="2" s="1"/>
  <c r="H65" i="1"/>
  <c r="C155" i="2" s="1"/>
  <c r="F65" i="1"/>
  <c r="C49" i="2" s="1"/>
  <c r="F101" i="1"/>
  <c r="C13" i="2" s="1"/>
  <c r="H101" i="1"/>
  <c r="C191" i="2" s="1"/>
  <c r="H109" i="1"/>
  <c r="C199" i="2" s="1"/>
  <c r="F109" i="1"/>
  <c r="C5" i="2" s="1"/>
  <c r="H31" i="1"/>
  <c r="C121" i="2" s="1"/>
  <c r="F31" i="1"/>
  <c r="C83" i="2" s="1"/>
  <c r="H85" i="1"/>
  <c r="C175" i="2" s="1"/>
  <c r="F85" i="1"/>
  <c r="C29" i="2" s="1"/>
  <c r="H96" i="1"/>
  <c r="C186" i="2" s="1"/>
  <c r="F96" i="1"/>
  <c r="C18" i="2" s="1"/>
  <c r="H70" i="1"/>
  <c r="C160" i="2" s="1"/>
  <c r="F70" i="1"/>
  <c r="C44" i="2" s="1"/>
  <c r="F80" i="1"/>
  <c r="C34" i="2" s="1"/>
  <c r="H80" i="1"/>
  <c r="C170" i="2" s="1"/>
  <c r="G56" i="1"/>
  <c r="D58" i="2" s="1"/>
  <c r="I56" i="1"/>
  <c r="D146" i="2" s="1"/>
  <c r="I96" i="1"/>
  <c r="D186" i="2" s="1"/>
  <c r="G96" i="1"/>
  <c r="D18" i="2" s="1"/>
  <c r="F47" i="1"/>
  <c r="C67" i="2" s="1"/>
  <c r="H47" i="1"/>
  <c r="C137" i="2" s="1"/>
  <c r="I61" i="1"/>
  <c r="D151" i="2" s="1"/>
  <c r="G61" i="1"/>
  <c r="D53" i="2" s="1"/>
  <c r="F75" i="1"/>
  <c r="C39" i="2" s="1"/>
  <c r="H75" i="1"/>
  <c r="C165" i="2" s="1"/>
  <c r="G82" i="1"/>
  <c r="D32" i="2" s="1"/>
  <c r="I82" i="1"/>
  <c r="D172" i="2" s="1"/>
  <c r="F107" i="1"/>
  <c r="C7" i="2" s="1"/>
  <c r="H107" i="1"/>
  <c r="C197" i="2" s="1"/>
  <c r="I60" i="1"/>
  <c r="D150" i="2" s="1"/>
  <c r="G60" i="1"/>
  <c r="D54" i="2" s="1"/>
  <c r="G79" i="1"/>
  <c r="D35" i="2" s="1"/>
  <c r="I79" i="1"/>
  <c r="D169" i="2" s="1"/>
  <c r="I91" i="1"/>
  <c r="D181" i="2" s="1"/>
  <c r="G91" i="1"/>
  <c r="D23" i="2" s="1"/>
  <c r="F23" i="1"/>
  <c r="C91" i="2" s="1"/>
  <c r="H23" i="1"/>
  <c r="C113" i="2" s="1"/>
  <c r="G87" i="1"/>
  <c r="D27" i="2" s="1"/>
  <c r="I87" i="1"/>
  <c r="D177" i="2" s="1"/>
  <c r="I40" i="1"/>
  <c r="D130" i="2" s="1"/>
  <c r="G40" i="1"/>
  <c r="D74" i="2" s="1"/>
  <c r="F60" i="1"/>
  <c r="C54" i="2" s="1"/>
  <c r="H60" i="1"/>
  <c r="C150" i="2" s="1"/>
  <c r="I24" i="1"/>
  <c r="D114" i="2" s="1"/>
  <c r="G24" i="1"/>
  <c r="D90" i="2" s="1"/>
  <c r="I31" i="1"/>
  <c r="D121" i="2" s="1"/>
  <c r="G31" i="1"/>
  <c r="D83" i="2" s="1"/>
  <c r="H89" i="1"/>
  <c r="C179" i="2" s="1"/>
  <c r="F89" i="1"/>
  <c r="C25" i="2" s="1"/>
  <c r="I94" i="1"/>
  <c r="D184" i="2" s="1"/>
  <c r="G94" i="1"/>
  <c r="D20" i="2" s="1"/>
  <c r="F16" i="1"/>
  <c r="C98" i="2" s="1"/>
  <c r="H16" i="1"/>
  <c r="C106" i="2" s="1"/>
  <c r="G103" i="1"/>
  <c r="D11" i="2" s="1"/>
  <c r="I103" i="1"/>
  <c r="D193" i="2" s="1"/>
  <c r="H32" i="1"/>
  <c r="C122" i="2" s="1"/>
  <c r="F32" i="1"/>
  <c r="C82" i="2" s="1"/>
  <c r="I44" i="1"/>
  <c r="D134" i="2" s="1"/>
  <c r="G44" i="1"/>
  <c r="D70" i="2" s="1"/>
  <c r="F25" i="1"/>
  <c r="C89" i="2" s="1"/>
  <c r="H25" i="1"/>
  <c r="C115" i="2" s="1"/>
  <c r="G29" i="1"/>
  <c r="D85" i="2" s="1"/>
  <c r="I29" i="1"/>
  <c r="D119" i="2" s="1"/>
  <c r="I74" i="1"/>
  <c r="D164" i="2" s="1"/>
  <c r="G74" i="1"/>
  <c r="D40" i="2" s="1"/>
  <c r="F15" i="1"/>
  <c r="C99" i="2" s="1"/>
  <c r="H15" i="1"/>
  <c r="C105" i="2" s="1"/>
  <c r="G100" i="1"/>
  <c r="D14" i="2" s="1"/>
  <c r="I100" i="1"/>
  <c r="D190" i="2" s="1"/>
  <c r="G99" i="1"/>
  <c r="D15" i="2" s="1"/>
  <c r="I99" i="1"/>
  <c r="D189" i="2" s="1"/>
  <c r="I92" i="1"/>
  <c r="D182" i="2" s="1"/>
  <c r="G92" i="1"/>
  <c r="D22" i="2" s="1"/>
  <c r="F51" i="1"/>
  <c r="C63" i="2" s="1"/>
  <c r="H51" i="1"/>
  <c r="C141" i="2" s="1"/>
  <c r="G108" i="1"/>
  <c r="D6" i="2" s="1"/>
  <c r="I108" i="1"/>
  <c r="D198" i="2" s="1"/>
  <c r="F44" i="1"/>
  <c r="C70" i="2" s="1"/>
  <c r="H44" i="1"/>
  <c r="C134" i="2" s="1"/>
  <c r="G71" i="1"/>
  <c r="D43" i="2" s="1"/>
  <c r="I71" i="1"/>
  <c r="D161" i="2" s="1"/>
  <c r="G27" i="1"/>
  <c r="D87" i="2" s="1"/>
  <c r="I27" i="1"/>
  <c r="D117" i="2" s="1"/>
  <c r="H87" i="1"/>
  <c r="C177" i="2" s="1"/>
  <c r="F87" i="1"/>
  <c r="C27" i="2" s="1"/>
  <c r="I37" i="1"/>
  <c r="D127" i="2" s="1"/>
  <c r="G37" i="1"/>
  <c r="D77" i="2" s="1"/>
  <c r="F74" i="1"/>
  <c r="C40" i="2" s="1"/>
  <c r="H74" i="1"/>
  <c r="C164" i="2" s="1"/>
  <c r="I89" i="1"/>
  <c r="D179" i="2" s="1"/>
  <c r="G89" i="1"/>
  <c r="D25" i="2" s="1"/>
  <c r="I45" i="1"/>
  <c r="D135" i="2" s="1"/>
  <c r="G45" i="1"/>
  <c r="D69" i="2" s="1"/>
  <c r="F54" i="1"/>
  <c r="C60" i="2" s="1"/>
  <c r="H54" i="1"/>
  <c r="C144" i="2" s="1"/>
  <c r="F26" i="1"/>
  <c r="C88" i="2" s="1"/>
  <c r="H26" i="1"/>
  <c r="C116" i="2" s="1"/>
  <c r="G69" i="1"/>
  <c r="D45" i="2" s="1"/>
  <c r="I69" i="1"/>
  <c r="D159" i="2" s="1"/>
  <c r="H100" i="1"/>
  <c r="C190" i="2" s="1"/>
  <c r="F100" i="1"/>
  <c r="C14" i="2" s="1"/>
  <c r="G84" i="1"/>
  <c r="D30" i="2" s="1"/>
  <c r="I84" i="1"/>
  <c r="D174" i="2" s="1"/>
  <c r="I57" i="1"/>
  <c r="D147" i="2" s="1"/>
  <c r="G57" i="1"/>
  <c r="D57" i="2" s="1"/>
  <c r="F36" i="1"/>
  <c r="C78" i="2" s="1"/>
  <c r="H36" i="1"/>
  <c r="C126" i="2" s="1"/>
  <c r="G76" i="1"/>
  <c r="D38" i="2" s="1"/>
  <c r="I76" i="1"/>
  <c r="D166" i="2" s="1"/>
  <c r="I85" i="1"/>
  <c r="D175" i="2" s="1"/>
  <c r="G85" i="1"/>
  <c r="D29" i="2" s="1"/>
  <c r="I110" i="1"/>
  <c r="D200" i="2" s="1"/>
  <c r="G110" i="1"/>
  <c r="D4" i="2" s="1"/>
  <c r="G20" i="1"/>
  <c r="D94" i="2" s="1"/>
  <c r="I20" i="1"/>
  <c r="D110" i="2" s="1"/>
  <c r="H42" i="1"/>
  <c r="C132" i="2" s="1"/>
  <c r="F42" i="1"/>
  <c r="C72" i="2" s="1"/>
  <c r="F66" i="1"/>
  <c r="C48" i="2" s="1"/>
  <c r="H66" i="1"/>
  <c r="C156" i="2" s="1"/>
  <c r="I32" i="1"/>
  <c r="D122" i="2" s="1"/>
  <c r="G32" i="1"/>
  <c r="D82" i="2" s="1"/>
  <c r="I41" i="1"/>
  <c r="D131" i="2" s="1"/>
  <c r="G41" i="1"/>
  <c r="D73" i="2" s="1"/>
  <c r="I15" i="1"/>
  <c r="D105" i="2" s="1"/>
  <c r="G15" i="1"/>
  <c r="D99" i="2" s="1"/>
  <c r="G38" i="1"/>
  <c r="D76" i="2" s="1"/>
  <c r="I38" i="1"/>
  <c r="D128" i="2" s="1"/>
  <c r="G47" i="1"/>
  <c r="D67" i="2" s="1"/>
  <c r="I47" i="1"/>
  <c r="D137" i="2" s="1"/>
  <c r="F94" i="1"/>
  <c r="C20" i="2" s="1"/>
  <c r="H94" i="1"/>
  <c r="C184" i="2" s="1"/>
  <c r="F45" i="1"/>
  <c r="C69" i="2" s="1"/>
  <c r="H45" i="1"/>
  <c r="C135" i="2" s="1"/>
  <c r="H30" i="1"/>
  <c r="C120" i="2" s="1"/>
  <c r="F30" i="1"/>
  <c r="C84" i="2" s="1"/>
  <c r="H99" i="1"/>
  <c r="C189" i="2" s="1"/>
  <c r="F99" i="1"/>
  <c r="C15" i="2" s="1"/>
  <c r="G77" i="1"/>
  <c r="D37" i="2" s="1"/>
  <c r="I77" i="1"/>
  <c r="D167" i="2" s="1"/>
  <c r="G16" i="1"/>
  <c r="D98" i="2" s="1"/>
  <c r="I16" i="1"/>
  <c r="D106" i="2" s="1"/>
  <c r="F79" i="1"/>
  <c r="C35" i="2" s="1"/>
  <c r="H79" i="1"/>
  <c r="C169" i="2" s="1"/>
  <c r="H93" i="1"/>
  <c r="C183" i="2" s="1"/>
  <c r="F93" i="1"/>
  <c r="C21" i="2" s="1"/>
  <c r="F95" i="1"/>
  <c r="C19" i="2" s="1"/>
  <c r="H95" i="1"/>
  <c r="C185" i="2" s="1"/>
  <c r="I78" i="1"/>
  <c r="D168" i="2" s="1"/>
  <c r="G78" i="1"/>
  <c r="D36" i="2" s="1"/>
  <c r="G86" i="1"/>
  <c r="D28" i="2" s="1"/>
  <c r="I86" i="1"/>
  <c r="D176" i="2" s="1"/>
  <c r="H20" i="1"/>
  <c r="C110" i="2" s="1"/>
  <c r="F20" i="1"/>
  <c r="C94" i="2" s="1"/>
  <c r="F46" i="1"/>
  <c r="C68" i="2" s="1"/>
  <c r="H46" i="1"/>
  <c r="C136" i="2" s="1"/>
  <c r="I48" i="1"/>
  <c r="D138" i="2" s="1"/>
  <c r="G48" i="1"/>
  <c r="D66" i="2" s="1"/>
  <c r="G22" i="1"/>
  <c r="D92" i="2" s="1"/>
  <c r="I22" i="1"/>
  <c r="D112" i="2" s="1"/>
  <c r="G98" i="1"/>
  <c r="D16" i="2" s="1"/>
  <c r="I98" i="1"/>
  <c r="D188" i="2" s="1"/>
  <c r="G90" i="1"/>
  <c r="D24" i="2" s="1"/>
  <c r="I90" i="1"/>
  <c r="D180" i="2" s="1"/>
  <c r="H69" i="1"/>
  <c r="C159" i="2" s="1"/>
  <c r="F69" i="1"/>
  <c r="C45" i="2" s="1"/>
  <c r="G64" i="1"/>
  <c r="D50" i="2" s="1"/>
  <c r="I64" i="1"/>
  <c r="D154" i="2" s="1"/>
  <c r="G112" i="1"/>
  <c r="D2" i="2" s="1"/>
  <c r="I112" i="1"/>
  <c r="D202" i="2" s="1"/>
  <c r="H76" i="1"/>
  <c r="C166" i="2" s="1"/>
  <c r="F76" i="1"/>
  <c r="C38" i="2" s="1"/>
  <c r="F49" i="1"/>
  <c r="C65" i="2" s="1"/>
  <c r="H49" i="1"/>
  <c r="C139" i="2" s="1"/>
  <c r="F82" i="1"/>
  <c r="C32" i="2" s="1"/>
  <c r="H82" i="1"/>
  <c r="C172" i="2" s="1"/>
  <c r="H92" i="1"/>
  <c r="C182" i="2" s="1"/>
  <c r="F92" i="1"/>
  <c r="C22" i="2" s="1"/>
  <c r="G25" i="1"/>
  <c r="D89" i="2" s="1"/>
  <c r="I25" i="1"/>
  <c r="D115" i="2" s="1"/>
  <c r="I50" i="1"/>
  <c r="D140" i="2" s="1"/>
  <c r="G50" i="1"/>
  <c r="D64" i="2" s="1"/>
  <c r="F98" i="1"/>
  <c r="C16" i="2" s="1"/>
  <c r="H98" i="1"/>
  <c r="C188" i="2" s="1"/>
  <c r="H59" i="1"/>
  <c r="C149" i="2" s="1"/>
  <c r="F59" i="1"/>
  <c r="C55" i="2" s="1"/>
  <c r="H57" i="1"/>
  <c r="C147" i="2" s="1"/>
  <c r="F57" i="1"/>
  <c r="C57" i="2" s="1"/>
  <c r="G33" i="1"/>
  <c r="D81" i="2" s="1"/>
  <c r="I33" i="1"/>
  <c r="D123" i="2" s="1"/>
  <c r="F102" i="1"/>
  <c r="C12" i="2" s="1"/>
  <c r="H102" i="1"/>
  <c r="C192" i="2" s="1"/>
  <c r="I68" i="1"/>
  <c r="D158" i="2" s="1"/>
  <c r="G68" i="1"/>
  <c r="D46" i="2" s="1"/>
  <c r="G72" i="1"/>
  <c r="D42" i="2" s="1"/>
  <c r="I72" i="1"/>
  <c r="D162" i="2" s="1"/>
  <c r="G95" i="1"/>
  <c r="D19" i="2" s="1"/>
  <c r="I95" i="1"/>
  <c r="D185" i="2" s="1"/>
  <c r="G30" i="1"/>
  <c r="D84" i="2" s="1"/>
  <c r="I30" i="1"/>
  <c r="D120" i="2" s="1"/>
  <c r="I35" i="1"/>
  <c r="D125" i="2" s="1"/>
  <c r="G35" i="1"/>
  <c r="D79" i="2" s="1"/>
  <c r="G88" i="1"/>
  <c r="D26" i="2" s="1"/>
  <c r="I88" i="1"/>
  <c r="D178" i="2" s="1"/>
  <c r="G102" i="1"/>
  <c r="D12" i="2" s="1"/>
  <c r="I102" i="1"/>
  <c r="D192" i="2" s="1"/>
  <c r="G36" i="1"/>
  <c r="D78" i="2" s="1"/>
  <c r="I36" i="1"/>
  <c r="D126" i="2" s="1"/>
  <c r="G63" i="1"/>
  <c r="D51" i="2" s="1"/>
  <c r="I63" i="1"/>
  <c r="D153" i="2" s="1"/>
  <c r="G111" i="1"/>
  <c r="D3" i="2" s="1"/>
  <c r="I111" i="1"/>
  <c r="D201" i="2" s="1"/>
  <c r="I42" i="1"/>
  <c r="D132" i="2" s="1"/>
  <c r="G42" i="1"/>
  <c r="D72" i="2" s="1"/>
  <c r="I107" i="1"/>
  <c r="D197" i="2" s="1"/>
  <c r="G107" i="1"/>
  <c r="D7" i="2" s="1"/>
  <c r="H55" i="1"/>
  <c r="C145" i="2" s="1"/>
  <c r="F55" i="1"/>
  <c r="C59" i="2" s="1"/>
  <c r="G58" i="1"/>
  <c r="D56" i="2" s="1"/>
  <c r="I58" i="1"/>
  <c r="D148" i="2" s="1"/>
  <c r="H104" i="1"/>
  <c r="C194" i="2" s="1"/>
  <c r="F104" i="1"/>
  <c r="C10" i="2" s="1"/>
  <c r="F40" i="1"/>
  <c r="C74" i="2" s="1"/>
  <c r="H40" i="1"/>
  <c r="C130" i="2" s="1"/>
  <c r="I59" i="1"/>
  <c r="D149" i="2" s="1"/>
  <c r="G59" i="1"/>
  <c r="D55" i="2" s="1"/>
  <c r="G83" i="1"/>
  <c r="D31" i="2" s="1"/>
  <c r="I83" i="1"/>
  <c r="D173" i="2" s="1"/>
  <c r="I105" i="1"/>
  <c r="D195" i="2" s="1"/>
  <c r="G105" i="1"/>
  <c r="D9" i="2" s="1"/>
  <c r="I19" i="1"/>
  <c r="D109" i="2" s="1"/>
  <c r="G19" i="1"/>
  <c r="D95" i="2" s="1"/>
  <c r="I109" i="1"/>
  <c r="D199" i="2" s="1"/>
  <c r="G109" i="1"/>
  <c r="D5" i="2" s="1"/>
  <c r="I75" i="1"/>
  <c r="D165" i="2" s="1"/>
  <c r="G75" i="1"/>
  <c r="D39" i="2" s="1"/>
  <c r="G17" i="1"/>
  <c r="D97" i="2" s="1"/>
  <c r="I17" i="1"/>
  <c r="D107" i="2" s="1"/>
  <c r="I14" i="1"/>
  <c r="D104" i="2" s="1"/>
  <c r="G14" i="1"/>
  <c r="D100" i="2" s="1"/>
  <c r="H37" i="1"/>
  <c r="C127" i="2" s="1"/>
  <c r="F37" i="1"/>
  <c r="C77" i="2" s="1"/>
  <c r="H111" i="1"/>
  <c r="C201" i="2" s="1"/>
  <c r="F111" i="1"/>
  <c r="C3" i="2" s="1"/>
  <c r="G70" i="1"/>
  <c r="D44" i="2" s="1"/>
  <c r="I70" i="1"/>
  <c r="D160" i="2" s="1"/>
  <c r="G28" i="1"/>
  <c r="D86" i="2" s="1"/>
  <c r="I28" i="1"/>
  <c r="D118" i="2" s="1"/>
  <c r="H48" i="1"/>
  <c r="C138" i="2" s="1"/>
  <c r="F48" i="1"/>
  <c r="C66" i="2" s="1"/>
  <c r="I13" i="1"/>
  <c r="D103" i="2" s="1"/>
  <c r="G13" i="1"/>
  <c r="D101" i="2" s="1"/>
  <c r="I104" i="1"/>
  <c r="D194" i="2" s="1"/>
  <c r="G104" i="1"/>
  <c r="D10" i="2" s="1"/>
  <c r="G18" i="1"/>
  <c r="D96" i="2" s="1"/>
  <c r="I18" i="1"/>
  <c r="D108" i="2" s="1"/>
  <c r="G43" i="1"/>
  <c r="D71" i="2" s="1"/>
  <c r="I43" i="1"/>
  <c r="D133" i="2" s="1"/>
  <c r="G51" i="1"/>
  <c r="D63" i="2" s="1"/>
  <c r="I51" i="1"/>
  <c r="D141" i="2" s="1"/>
  <c r="I49" i="1"/>
  <c r="D139" i="2" s="1"/>
  <c r="G49" i="1"/>
  <c r="D65" i="2" s="1"/>
  <c r="H97" i="1"/>
  <c r="C187" i="2" s="1"/>
  <c r="F97" i="1"/>
  <c r="C17" i="2" s="1"/>
  <c r="F88" i="1"/>
  <c r="C26" i="2" s="1"/>
  <c r="H88" i="1"/>
  <c r="C178" i="2" s="1"/>
  <c r="F41" i="1"/>
  <c r="C73" i="2" s="1"/>
  <c r="H41" i="1"/>
  <c r="C131" i="2" s="1"/>
  <c r="G21" i="1"/>
  <c r="D93" i="2" s="1"/>
  <c r="I21" i="1"/>
  <c r="D111" i="2" s="1"/>
  <c r="F28" i="1"/>
  <c r="C86" i="2" s="1"/>
  <c r="H28" i="1"/>
  <c r="C118" i="2" s="1"/>
  <c r="F78" i="1"/>
  <c r="C36" i="2" s="1"/>
  <c r="H78" i="1"/>
  <c r="C168" i="2" s="1"/>
  <c r="H13" i="1"/>
  <c r="C103" i="2" s="1"/>
  <c r="F13" i="1"/>
  <c r="C101" i="2" s="1"/>
  <c r="I62" i="1"/>
  <c r="D152" i="2" s="1"/>
  <c r="G62" i="1"/>
  <c r="D52" i="2" s="1"/>
  <c r="H105" i="1"/>
  <c r="C195" i="2" s="1"/>
  <c r="F105" i="1"/>
  <c r="C9" i="2" s="1"/>
  <c r="H17" i="1"/>
  <c r="C107" i="2" s="1"/>
  <c r="F17" i="1"/>
  <c r="C97" i="2" s="1"/>
  <c r="H77" i="1"/>
  <c r="C167" i="2" s="1"/>
  <c r="F77" i="1"/>
  <c r="C37" i="2" s="1"/>
  <c r="I97" i="1"/>
  <c r="D187" i="2" s="1"/>
  <c r="G97" i="1"/>
  <c r="D17" i="2" s="1"/>
  <c r="H24" i="1"/>
  <c r="C114" i="2" s="1"/>
  <c r="F24" i="1"/>
  <c r="C90" i="2" s="1"/>
  <c r="G101" i="1"/>
  <c r="D13" i="2" s="1"/>
  <c r="I101" i="1"/>
  <c r="D191" i="2" s="1"/>
  <c r="I34" i="1"/>
  <c r="D124" i="2" s="1"/>
  <c r="G34" i="1"/>
  <c r="D80" i="2" s="1"/>
  <c r="H38" i="1"/>
  <c r="C128" i="2" s="1"/>
  <c r="F38" i="1"/>
  <c r="C76" i="2" s="1"/>
  <c r="F73" i="1"/>
  <c r="C41" i="2" s="1"/>
  <c r="H73" i="1"/>
  <c r="C163" i="2" s="1"/>
  <c r="G67" i="1"/>
  <c r="D47" i="2" s="1"/>
  <c r="I67" i="1"/>
  <c r="D157" i="2" s="1"/>
  <c r="F52" i="1"/>
  <c r="C62" i="2" s="1"/>
  <c r="H52" i="1"/>
  <c r="C142" i="2" s="1"/>
  <c r="G52" i="1"/>
  <c r="D62" i="2" s="1"/>
  <c r="I52" i="1"/>
  <c r="D142" i="2" s="1"/>
  <c r="H56" i="1"/>
  <c r="C146" i="2" s="1"/>
  <c r="F56" i="1"/>
  <c r="C58" i="2" s="1"/>
  <c r="H61" i="1"/>
  <c r="C151" i="2" s="1"/>
  <c r="F61" i="1"/>
  <c r="C53" i="2" s="1"/>
  <c r="I81" i="1"/>
  <c r="D171" i="2" s="1"/>
  <c r="G81" i="1"/>
  <c r="D33" i="2" s="1"/>
  <c r="F90" i="1"/>
  <c r="C24" i="2" s="1"/>
  <c r="H90" i="1"/>
  <c r="C180" i="2" s="1"/>
  <c r="H43" i="1"/>
  <c r="C133" i="2" s="1"/>
  <c r="F43" i="1"/>
  <c r="C71" i="2" s="1"/>
  <c r="I39" i="1"/>
  <c r="D129" i="2" s="1"/>
  <c r="G39" i="1"/>
  <c r="D75" i="2" s="1"/>
  <c r="G12" i="1"/>
  <c r="D102" i="2" s="1"/>
  <c r="I12" i="1"/>
  <c r="F50" i="1"/>
  <c r="C64" i="2" s="1"/>
  <c r="H50" i="1"/>
  <c r="C140" i="2" s="1"/>
  <c r="F35" i="1"/>
  <c r="C79" i="2" s="1"/>
  <c r="H35" i="1"/>
  <c r="C125" i="2" s="1"/>
  <c r="F91" i="1"/>
  <c r="C23" i="2" s="1"/>
  <c r="H91" i="1"/>
  <c r="C181" i="2" s="1"/>
  <c r="H29" i="1"/>
  <c r="C119" i="2" s="1"/>
  <c r="F29" i="1"/>
  <c r="C85" i="2" s="1"/>
  <c r="I65" i="1"/>
  <c r="D155" i="2" s="1"/>
  <c r="G65" i="1"/>
  <c r="D49" i="2" s="1"/>
  <c r="G53" i="1"/>
  <c r="D61" i="2" s="1"/>
  <c r="I53" i="1"/>
  <c r="D143" i="2" s="1"/>
  <c r="F103" i="1"/>
  <c r="C11" i="2" s="1"/>
  <c r="H103" i="1"/>
  <c r="C193" i="2" s="1"/>
  <c r="G55" i="1"/>
  <c r="D59" i="2" s="1"/>
  <c r="I55" i="1"/>
  <c r="D145" i="2" s="1"/>
  <c r="G80" i="1"/>
  <c r="D34" i="2" s="1"/>
  <c r="I80" i="1"/>
  <c r="D170" i="2" s="1"/>
  <c r="F14" i="1"/>
  <c r="C100" i="2" s="1"/>
  <c r="H14" i="1"/>
  <c r="C104" i="2" s="1"/>
  <c r="H64" i="1"/>
  <c r="C154" i="2" s="1"/>
  <c r="F64" i="1"/>
  <c r="C50" i="2" s="1"/>
  <c r="F39" i="1"/>
  <c r="C75" i="2" s="1"/>
  <c r="H39" i="1"/>
  <c r="C129" i="2" s="1"/>
  <c r="I66" i="1"/>
  <c r="D156" i="2" s="1"/>
  <c r="G66" i="1"/>
  <c r="D48" i="2" s="1"/>
  <c r="I93" i="1"/>
  <c r="D183" i="2" s="1"/>
  <c r="G93" i="1"/>
  <c r="D21" i="2" s="1"/>
  <c r="I26" i="1"/>
  <c r="D116" i="2" s="1"/>
  <c r="G26" i="1"/>
  <c r="D88" i="2" s="1"/>
  <c r="I23" i="1"/>
  <c r="D113" i="2" s="1"/>
  <c r="G23" i="1"/>
  <c r="D91" i="2" s="1"/>
  <c r="I73" i="1"/>
  <c r="D163" i="2" s="1"/>
  <c r="G73" i="1"/>
  <c r="D41" i="2" s="1"/>
  <c r="I106" i="1"/>
  <c r="D196" i="2" s="1"/>
  <c r="G106" i="1"/>
  <c r="D8" i="2" s="1"/>
  <c r="H53" i="1"/>
  <c r="C143" i="2" s="1"/>
  <c r="F53" i="1"/>
  <c r="C61" i="2" s="1"/>
  <c r="H86" i="1"/>
  <c r="C176" i="2" s="1"/>
  <c r="F86" i="1"/>
  <c r="C28" i="2" s="1"/>
  <c r="I46" i="1"/>
  <c r="D136" i="2" s="1"/>
  <c r="G46" i="1"/>
  <c r="D68" i="2" s="1"/>
  <c r="G54" i="1"/>
  <c r="D60" i="2" s="1"/>
  <c r="I54" i="1"/>
  <c r="D144" i="2" s="1"/>
</calcChain>
</file>

<file path=xl/sharedStrings.xml><?xml version="1.0" encoding="utf-8"?>
<sst xmlns="http://schemas.openxmlformats.org/spreadsheetml/2006/main" count="29" uniqueCount="28">
  <si>
    <t>NACA AIRFOIL</t>
  </si>
  <si>
    <t>4 DIGIT =</t>
  </si>
  <si>
    <t>Yc</t>
  </si>
  <si>
    <t>M</t>
  </si>
  <si>
    <t>P</t>
  </si>
  <si>
    <t>XX</t>
  </si>
  <si>
    <t>dYc/dx</t>
  </si>
  <si>
    <t>Yt</t>
  </si>
  <si>
    <t>Theta</t>
  </si>
  <si>
    <t>Xu</t>
  </si>
  <si>
    <t>Yu</t>
  </si>
  <si>
    <t>Xc</t>
  </si>
  <si>
    <t>Xl</t>
  </si>
  <si>
    <t>Yl</t>
  </si>
  <si>
    <t>Camber / Cuerda</t>
  </si>
  <si>
    <t>Extrados</t>
  </si>
  <si>
    <t>Intrados</t>
  </si>
  <si>
    <t>NSIV.IO</t>
  </si>
  <si>
    <t>https://nsiv.io/</t>
  </si>
  <si>
    <t>#Group</t>
  </si>
  <si>
    <t>Point</t>
  </si>
  <si>
    <t>X_cord</t>
  </si>
  <si>
    <t>Y_cord</t>
  </si>
  <si>
    <t>Z_cord</t>
  </si>
  <si>
    <t>Suma</t>
  </si>
  <si>
    <t>Promedio</t>
  </si>
  <si>
    <t>Total</t>
  </si>
  <si>
    <t>Recuento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</si>
</sst>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0"/>
    <numFmt numFmtId="166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u/>
      <sz val="14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0" xfId="0" applyProtection="1">
      <protection locked="0"/>
    </xf>
    <xf numFmtId="0" fontId="3" fillId="0" borderId="24" xfId="0" applyFont="1" applyBorder="1" applyAlignment="1" applyProtection="1">
      <alignment horizontal="center"/>
      <protection locked="0"/>
    </xf>
    <xf numFmtId="0" fontId="3" fillId="0" borderId="26" xfId="0" applyFont="1" applyBorder="1" applyAlignment="1" applyProtection="1">
      <alignment horizontal="center"/>
      <protection locked="0"/>
    </xf>
    <xf numFmtId="0" fontId="3" fillId="0" borderId="25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3" fillId="2" borderId="19" xfId="0" applyFont="1" applyFill="1" applyBorder="1" applyAlignment="1" applyProtection="1">
      <alignment horizontal="center"/>
      <protection locked="0"/>
    </xf>
    <xf numFmtId="0" fontId="3" fillId="2" borderId="2" xfId="0" applyFont="1" applyFill="1" applyBorder="1" applyAlignment="1" applyProtection="1">
      <alignment horizontal="center"/>
      <protection locked="0"/>
    </xf>
    <xf numFmtId="0" fontId="3" fillId="2" borderId="18" xfId="0" applyFont="1" applyFill="1" applyBorder="1" applyAlignment="1" applyProtection="1">
      <alignment horizontal="center"/>
      <protection locked="0"/>
    </xf>
    <xf numFmtId="0" fontId="3" fillId="2" borderId="17" xfId="0" applyFont="1" applyFill="1" applyBorder="1" applyAlignment="1" applyProtection="1">
      <alignment horizontal="center"/>
      <protection locked="0"/>
    </xf>
    <xf numFmtId="165" fontId="0" fillId="0" borderId="11" xfId="0" applyNumberFormat="1" applyBorder="1" applyAlignment="1" applyProtection="1">
      <alignment horizontal="center"/>
      <protection hidden="1"/>
    </xf>
    <xf numFmtId="166" fontId="0" fillId="0" borderId="9" xfId="0" applyNumberFormat="1" applyBorder="1" applyAlignment="1" applyProtection="1">
      <alignment horizontal="center"/>
      <protection hidden="1"/>
    </xf>
    <xf numFmtId="164" fontId="0" fillId="0" borderId="14" xfId="0" applyNumberFormat="1" applyBorder="1" applyAlignment="1" applyProtection="1">
      <alignment horizontal="center"/>
      <protection hidden="1"/>
    </xf>
    <xf numFmtId="165" fontId="0" fillId="0" borderId="12" xfId="0" applyNumberFormat="1" applyBorder="1" applyAlignment="1" applyProtection="1">
      <alignment horizontal="center"/>
      <protection hidden="1"/>
    </xf>
    <xf numFmtId="166" fontId="0" fillId="0" borderId="1" xfId="0" applyNumberFormat="1" applyBorder="1" applyAlignment="1" applyProtection="1">
      <alignment horizontal="center"/>
      <protection hidden="1"/>
    </xf>
    <xf numFmtId="164" fontId="0" fillId="0" borderId="15" xfId="0" applyNumberFormat="1" applyBorder="1" applyAlignment="1" applyProtection="1">
      <alignment horizontal="center"/>
      <protection hidden="1"/>
    </xf>
    <xf numFmtId="165" fontId="0" fillId="0" borderId="13" xfId="0" applyNumberFormat="1" applyBorder="1" applyAlignment="1" applyProtection="1">
      <alignment horizontal="center"/>
      <protection hidden="1"/>
    </xf>
    <xf numFmtId="166" fontId="0" fillId="0" borderId="6" xfId="0" applyNumberFormat="1" applyBorder="1" applyAlignment="1" applyProtection="1">
      <alignment horizontal="center"/>
      <protection hidden="1"/>
    </xf>
    <xf numFmtId="164" fontId="0" fillId="0" borderId="16" xfId="0" applyNumberFormat="1" applyBorder="1" applyAlignment="1" applyProtection="1">
      <alignment horizontal="center"/>
      <protection hidden="1"/>
    </xf>
    <xf numFmtId="0" fontId="2" fillId="0" borderId="0" xfId="0" applyFont="1" applyProtection="1"/>
    <xf numFmtId="0" fontId="0" fillId="0" borderId="0" xfId="0" applyProtection="1"/>
    <xf numFmtId="0" fontId="3" fillId="0" borderId="0" xfId="0" applyFont="1" applyAlignment="1" applyProtection="1">
      <alignment horizontal="center"/>
    </xf>
    <xf numFmtId="0" fontId="3" fillId="0" borderId="0" xfId="0" applyFont="1" applyProtection="1"/>
    <xf numFmtId="0" fontId="1" fillId="2" borderId="19" xfId="0" applyFont="1" applyFill="1" applyBorder="1" applyAlignment="1" applyProtection="1">
      <alignment horizontal="center"/>
    </xf>
    <xf numFmtId="0" fontId="1" fillId="2" borderId="2" xfId="0" applyFont="1" applyFill="1" applyBorder="1" applyAlignment="1" applyProtection="1">
      <alignment horizontal="center"/>
    </xf>
    <xf numFmtId="0" fontId="1" fillId="2" borderId="17" xfId="0" applyFont="1" applyFill="1" applyBorder="1" applyAlignment="1" applyProtection="1">
      <alignment horizontal="center"/>
    </xf>
    <xf numFmtId="0" fontId="0" fillId="0" borderId="8" xfId="0" applyBorder="1" applyAlignment="1" applyProtection="1">
      <alignment horizontal="center"/>
    </xf>
    <xf numFmtId="166" fontId="0" fillId="0" borderId="10" xfId="0" applyNumberFormat="1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</xf>
    <xf numFmtId="166" fontId="0" fillId="0" borderId="4" xfId="0" applyNumberFormat="1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</xf>
    <xf numFmtId="166" fontId="0" fillId="0" borderId="7" xfId="0" applyNumberFormat="1" applyBorder="1" applyAlignment="1" applyProtection="1">
      <alignment horizontal="center"/>
      <protection hidden="1"/>
    </xf>
    <xf numFmtId="165" fontId="0" fillId="0" borderId="8" xfId="0" applyNumberFormat="1" applyBorder="1" applyAlignment="1" applyProtection="1">
      <alignment horizontal="center"/>
      <protection hidden="1"/>
    </xf>
    <xf numFmtId="164" fontId="0" fillId="0" borderId="10" xfId="0" applyNumberFormat="1" applyBorder="1" applyAlignment="1" applyProtection="1">
      <alignment horizontal="center"/>
      <protection hidden="1"/>
    </xf>
    <xf numFmtId="164" fontId="0" fillId="0" borderId="11" xfId="0" applyNumberFormat="1" applyBorder="1" applyAlignment="1" applyProtection="1">
      <alignment horizontal="center"/>
      <protection hidden="1"/>
    </xf>
    <xf numFmtId="165" fontId="0" fillId="0" borderId="3" xfId="0" applyNumberFormat="1" applyBorder="1" applyAlignment="1" applyProtection="1">
      <alignment horizontal="center"/>
      <protection hidden="1"/>
    </xf>
    <xf numFmtId="164" fontId="0" fillId="0" borderId="4" xfId="0" applyNumberFormat="1" applyBorder="1" applyAlignment="1" applyProtection="1">
      <alignment horizontal="center"/>
      <protection hidden="1"/>
    </xf>
    <xf numFmtId="164" fontId="0" fillId="0" borderId="12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164" fontId="0" fillId="0" borderId="7" xfId="0" applyNumberFormat="1" applyBorder="1" applyAlignment="1" applyProtection="1">
      <alignment horizontal="center"/>
      <protection hidden="1"/>
    </xf>
    <xf numFmtId="164" fontId="0" fillId="0" borderId="13" xfId="0" applyNumberFormat="1" applyBorder="1" applyAlignment="1" applyProtection="1">
      <alignment horizontal="center"/>
      <protection hidden="1"/>
    </xf>
    <xf numFmtId="0" fontId="3" fillId="2" borderId="19" xfId="0" applyFont="1" applyFill="1" applyBorder="1" applyAlignment="1" applyProtection="1">
      <alignment horizontal="center"/>
      <protection locked="0"/>
    </xf>
    <xf numFmtId="0" fontId="3" fillId="2" borderId="17" xfId="0" applyFont="1" applyFill="1" applyBorder="1" applyAlignment="1" applyProtection="1">
      <alignment horizontal="center"/>
      <protection locked="0"/>
    </xf>
    <xf numFmtId="0" fontId="2" fillId="4" borderId="19" xfId="0" applyFont="1" applyFill="1" applyBorder="1" applyAlignment="1" applyProtection="1">
      <alignment horizontal="center"/>
    </xf>
    <xf numFmtId="0" fontId="2" fillId="4" borderId="18" xfId="0" applyFont="1" applyFill="1" applyBorder="1" applyAlignment="1" applyProtection="1">
      <alignment horizontal="center"/>
    </xf>
    <xf numFmtId="0" fontId="2" fillId="4" borderId="17" xfId="0" applyFont="1" applyFill="1" applyBorder="1" applyAlignment="1" applyProtection="1">
      <alignment horizontal="center"/>
    </xf>
    <xf numFmtId="0" fontId="7" fillId="3" borderId="24" xfId="1" applyFont="1" applyFill="1" applyBorder="1" applyAlignment="1" applyProtection="1">
      <alignment horizontal="center"/>
    </xf>
    <xf numFmtId="0" fontId="7" fillId="3" borderId="20" xfId="1" applyFont="1" applyFill="1" applyBorder="1" applyAlignment="1" applyProtection="1">
      <alignment horizontal="center"/>
    </xf>
    <xf numFmtId="0" fontId="7" fillId="3" borderId="25" xfId="1" applyFont="1" applyFill="1" applyBorder="1" applyAlignment="1" applyProtection="1">
      <alignment horizontal="center"/>
    </xf>
    <xf numFmtId="0" fontId="6" fillId="3" borderId="21" xfId="0" applyFont="1" applyFill="1" applyBorder="1" applyAlignment="1" applyProtection="1">
      <alignment horizontal="center"/>
    </xf>
    <xf numFmtId="0" fontId="6" fillId="3" borderId="22" xfId="0" applyFont="1" applyFill="1" applyBorder="1" applyAlignment="1" applyProtection="1">
      <alignment horizontal="center"/>
    </xf>
    <xf numFmtId="0" fontId="6" fillId="3" borderId="23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NACA Airfoil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10220247745950806"/>
          <c:y val="0.16878270762229808"/>
          <c:w val="0.87464237500154818"/>
          <c:h val="0.71196796646153016"/>
        </c:manualLayout>
      </c:layout>
      <c:scatterChart>
        <c:scatterStyle val="smoothMarker"/>
        <c:varyColors val="0"/>
        <c:ser>
          <c:idx val="0"/>
          <c:order val="0"/>
          <c:tx>
            <c:v>Camber / Cuerda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nsiv.io!$A$12:$A$112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nsiv.io!$B$12:$B$112</c:f>
              <c:numCache>
                <c:formatCode>0.0000</c:formatCode>
                <c:ptCount val="101"/>
                <c:pt idx="0">
                  <c:v>0</c:v>
                </c:pt>
                <c:pt idx="1">
                  <c:v>9.8749999999999988E-4</c:v>
                </c:pt>
                <c:pt idx="2">
                  <c:v>1.9499999999999997E-3</c:v>
                </c:pt>
                <c:pt idx="3">
                  <c:v>2.8874999999999994E-3</c:v>
                </c:pt>
                <c:pt idx="4">
                  <c:v>3.7999999999999991E-3</c:v>
                </c:pt>
                <c:pt idx="5">
                  <c:v>4.6874999999999998E-3</c:v>
                </c:pt>
                <c:pt idx="6">
                  <c:v>5.5499999999999994E-3</c:v>
                </c:pt>
                <c:pt idx="7">
                  <c:v>6.3874999999999991E-3</c:v>
                </c:pt>
                <c:pt idx="8">
                  <c:v>7.1999999999999981E-3</c:v>
                </c:pt>
                <c:pt idx="9">
                  <c:v>7.9874999999999981E-3</c:v>
                </c:pt>
                <c:pt idx="10">
                  <c:v>8.7499999999999991E-3</c:v>
                </c:pt>
                <c:pt idx="11">
                  <c:v>9.4874999999999994E-3</c:v>
                </c:pt>
                <c:pt idx="12">
                  <c:v>1.0199999999999999E-2</c:v>
                </c:pt>
                <c:pt idx="13">
                  <c:v>1.08875E-2</c:v>
                </c:pt>
                <c:pt idx="14">
                  <c:v>1.155E-2</c:v>
                </c:pt>
                <c:pt idx="15">
                  <c:v>1.2187499999999997E-2</c:v>
                </c:pt>
                <c:pt idx="16">
                  <c:v>1.2799999999999997E-2</c:v>
                </c:pt>
                <c:pt idx="17">
                  <c:v>1.3387499999999997E-2</c:v>
                </c:pt>
                <c:pt idx="18">
                  <c:v>1.3949999999999995E-2</c:v>
                </c:pt>
                <c:pt idx="19">
                  <c:v>1.44875E-2</c:v>
                </c:pt>
                <c:pt idx="20">
                  <c:v>1.4999999999999999E-2</c:v>
                </c:pt>
                <c:pt idx="21">
                  <c:v>1.5487499999999998E-2</c:v>
                </c:pt>
                <c:pt idx="22">
                  <c:v>1.5949999999999999E-2</c:v>
                </c:pt>
                <c:pt idx="23">
                  <c:v>1.6387499999999999E-2</c:v>
                </c:pt>
                <c:pt idx="24">
                  <c:v>1.6799999999999999E-2</c:v>
                </c:pt>
                <c:pt idx="25">
                  <c:v>1.7187499999999998E-2</c:v>
                </c:pt>
                <c:pt idx="26">
                  <c:v>1.755E-2</c:v>
                </c:pt>
                <c:pt idx="27">
                  <c:v>1.7887499999999997E-2</c:v>
                </c:pt>
                <c:pt idx="28">
                  <c:v>1.8199999999999997E-2</c:v>
                </c:pt>
                <c:pt idx="29">
                  <c:v>1.8487499999999994E-2</c:v>
                </c:pt>
                <c:pt idx="30">
                  <c:v>1.8749999999999996E-2</c:v>
                </c:pt>
                <c:pt idx="31">
                  <c:v>1.8987499999999994E-2</c:v>
                </c:pt>
                <c:pt idx="32">
                  <c:v>1.9199999999999998E-2</c:v>
                </c:pt>
                <c:pt idx="33">
                  <c:v>1.9387499999999998E-2</c:v>
                </c:pt>
                <c:pt idx="34">
                  <c:v>1.9549999999999994E-2</c:v>
                </c:pt>
                <c:pt idx="35">
                  <c:v>1.9687499999999993E-2</c:v>
                </c:pt>
                <c:pt idx="36">
                  <c:v>1.9799999999999995E-2</c:v>
                </c:pt>
                <c:pt idx="37">
                  <c:v>1.9887499999999995E-2</c:v>
                </c:pt>
                <c:pt idx="38">
                  <c:v>1.9950000000000002E-2</c:v>
                </c:pt>
                <c:pt idx="39">
                  <c:v>1.9987500000000002E-2</c:v>
                </c:pt>
                <c:pt idx="40">
                  <c:v>0.02</c:v>
                </c:pt>
                <c:pt idx="41">
                  <c:v>1.999444444444445E-2</c:v>
                </c:pt>
                <c:pt idx="42">
                  <c:v>1.9977777777777782E-2</c:v>
                </c:pt>
                <c:pt idx="43">
                  <c:v>1.9950000000000006E-2</c:v>
                </c:pt>
                <c:pt idx="44">
                  <c:v>1.9911111111111116E-2</c:v>
                </c:pt>
                <c:pt idx="45">
                  <c:v>1.9861111111111114E-2</c:v>
                </c:pt>
                <c:pt idx="46">
                  <c:v>1.9800000000000005E-2</c:v>
                </c:pt>
                <c:pt idx="47">
                  <c:v>1.9727777777777778E-2</c:v>
                </c:pt>
                <c:pt idx="48">
                  <c:v>1.9644444444444444E-2</c:v>
                </c:pt>
                <c:pt idx="49">
                  <c:v>1.9550000000000001E-2</c:v>
                </c:pt>
                <c:pt idx="50">
                  <c:v>1.9444444444444445E-2</c:v>
                </c:pt>
                <c:pt idx="51">
                  <c:v>1.9327777777777777E-2</c:v>
                </c:pt>
                <c:pt idx="52">
                  <c:v>1.9199999999999998E-2</c:v>
                </c:pt>
                <c:pt idx="53">
                  <c:v>1.9061111111111109E-2</c:v>
                </c:pt>
                <c:pt idx="54">
                  <c:v>1.8911111111111111E-2</c:v>
                </c:pt>
                <c:pt idx="55">
                  <c:v>1.8749999999999999E-2</c:v>
                </c:pt>
                <c:pt idx="56">
                  <c:v>1.8577777777777776E-2</c:v>
                </c:pt>
                <c:pt idx="57">
                  <c:v>1.8394444444444442E-2</c:v>
                </c:pt>
                <c:pt idx="58">
                  <c:v>1.8199999999999997E-2</c:v>
                </c:pt>
                <c:pt idx="59">
                  <c:v>1.7994444444444445E-2</c:v>
                </c:pt>
                <c:pt idx="60">
                  <c:v>1.7777777777777778E-2</c:v>
                </c:pt>
                <c:pt idx="61">
                  <c:v>1.755E-2</c:v>
                </c:pt>
                <c:pt idx="62">
                  <c:v>1.7311111111111107E-2</c:v>
                </c:pt>
                <c:pt idx="63">
                  <c:v>1.7061111111111107E-2</c:v>
                </c:pt>
                <c:pt idx="64">
                  <c:v>1.6799999999999999E-2</c:v>
                </c:pt>
                <c:pt idx="65">
                  <c:v>1.6527777777777777E-2</c:v>
                </c:pt>
                <c:pt idx="66">
                  <c:v>1.6244444444444443E-2</c:v>
                </c:pt>
                <c:pt idx="67">
                  <c:v>1.5949999999999995E-2</c:v>
                </c:pt>
                <c:pt idx="68">
                  <c:v>1.564444444444444E-2</c:v>
                </c:pt>
                <c:pt idx="69">
                  <c:v>1.5327777777777777E-2</c:v>
                </c:pt>
                <c:pt idx="70">
                  <c:v>1.4999999999999999E-2</c:v>
                </c:pt>
                <c:pt idx="71">
                  <c:v>1.4661111111111107E-2</c:v>
                </c:pt>
                <c:pt idx="72">
                  <c:v>1.431111111111111E-2</c:v>
                </c:pt>
                <c:pt idx="73">
                  <c:v>1.3950000000000001E-2</c:v>
                </c:pt>
                <c:pt idx="74">
                  <c:v>1.3577777777777775E-2</c:v>
                </c:pt>
                <c:pt idx="75">
                  <c:v>1.3194444444444448E-2</c:v>
                </c:pt>
                <c:pt idx="76">
                  <c:v>1.2800000000000004E-2</c:v>
                </c:pt>
                <c:pt idx="77">
                  <c:v>1.2394444444444449E-2</c:v>
                </c:pt>
                <c:pt idx="78">
                  <c:v>1.197777777777778E-2</c:v>
                </c:pt>
                <c:pt idx="79">
                  <c:v>1.155E-2</c:v>
                </c:pt>
                <c:pt idx="80">
                  <c:v>1.111111111111111E-2</c:v>
                </c:pt>
                <c:pt idx="81">
                  <c:v>1.0661111111111109E-2</c:v>
                </c:pt>
                <c:pt idx="82">
                  <c:v>1.0200000000000006E-2</c:v>
                </c:pt>
                <c:pt idx="83">
                  <c:v>9.7277777777777796E-3</c:v>
                </c:pt>
                <c:pt idx="84">
                  <c:v>9.244444444444451E-3</c:v>
                </c:pt>
                <c:pt idx="85">
                  <c:v>8.750000000000006E-3</c:v>
                </c:pt>
                <c:pt idx="86">
                  <c:v>8.2444444444444501E-3</c:v>
                </c:pt>
                <c:pt idx="87">
                  <c:v>7.7277777777777787E-3</c:v>
                </c:pt>
                <c:pt idx="88">
                  <c:v>7.2000000000000033E-3</c:v>
                </c:pt>
                <c:pt idx="89">
                  <c:v>6.6611111111111116E-3</c:v>
                </c:pt>
                <c:pt idx="90">
                  <c:v>6.1111111111111106E-3</c:v>
                </c:pt>
                <c:pt idx="91">
                  <c:v>5.5499999999999994E-3</c:v>
                </c:pt>
                <c:pt idx="92">
                  <c:v>4.9777777777777789E-3</c:v>
                </c:pt>
                <c:pt idx="93">
                  <c:v>4.3944444444444421E-3</c:v>
                </c:pt>
                <c:pt idx="94">
                  <c:v>3.8000000000000013E-3</c:v>
                </c:pt>
                <c:pt idx="95">
                  <c:v>3.1944444444444446E-3</c:v>
                </c:pt>
                <c:pt idx="96">
                  <c:v>2.5777777777777778E-3</c:v>
                </c:pt>
                <c:pt idx="97">
                  <c:v>1.9500000000000012E-3</c:v>
                </c:pt>
                <c:pt idx="98">
                  <c:v>1.3111111111111149E-3</c:v>
                </c:pt>
                <c:pt idx="99">
                  <c:v>6.6111111111111232E-4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166-4A44-8AC2-035A55660620}"/>
            </c:ext>
          </c:extLst>
        </c:ser>
        <c:ser>
          <c:idx val="1"/>
          <c:order val="1"/>
          <c:tx>
            <c:v>Extrados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nsiv.io!$F$12:$F$112</c:f>
              <c:numCache>
                <c:formatCode>0.00000</c:formatCode>
                <c:ptCount val="101"/>
                <c:pt idx="0">
                  <c:v>0</c:v>
                </c:pt>
                <c:pt idx="1">
                  <c:v>8.3467249236099817E-3</c:v>
                </c:pt>
                <c:pt idx="2">
                  <c:v>1.7768259834246843E-2</c:v>
                </c:pt>
                <c:pt idx="3">
                  <c:v>2.7384033891633981E-2</c:v>
                </c:pt>
                <c:pt idx="4">
                  <c:v>3.7106743785527009E-2</c:v>
                </c:pt>
                <c:pt idx="5">
                  <c:v>4.6901488898389639E-2</c:v>
                </c:pt>
                <c:pt idx="6">
                  <c:v>5.6749776425983077E-2</c:v>
                </c:pt>
                <c:pt idx="7">
                  <c:v>6.6640236886259613E-2</c:v>
                </c:pt>
                <c:pt idx="8">
                  <c:v>7.656518991838708E-2</c:v>
                </c:pt>
                <c:pt idx="9">
                  <c:v>8.6519095401112855E-2</c:v>
                </c:pt>
                <c:pt idx="10">
                  <c:v>9.6497758423747512E-2</c:v>
                </c:pt>
                <c:pt idx="11">
                  <c:v>0.1064978818284515</c:v>
                </c:pt>
                <c:pt idx="12">
                  <c:v>0.11651679628750004</c:v>
                </c:pt>
                <c:pt idx="13">
                  <c:v>0.12655228839210336</c:v>
                </c:pt>
                <c:pt idx="14">
                  <c:v>0.13660248626660706</c:v>
                </c:pt>
                <c:pt idx="15">
                  <c:v>0.14666578066224487</c:v>
                </c:pt>
                <c:pt idx="16">
                  <c:v>0.15674076885023769</c:v>
                </c:pt>
                <c:pt idx="17">
                  <c:v>0.16682621368118486</c:v>
                </c:pt>
                <c:pt idx="18">
                  <c:v>0.17692101303556967</c:v>
                </c:pt>
                <c:pt idx="19">
                  <c:v>0.18702417657781731</c:v>
                </c:pt>
                <c:pt idx="20">
                  <c:v>0.1971348077595447</c:v>
                </c:pt>
                <c:pt idx="21">
                  <c:v>0.20725208967037959</c:v>
                </c:pt>
                <c:pt idx="22">
                  <c:v>0.21737527375863536</c:v>
                </c:pt>
                <c:pt idx="23">
                  <c:v>0.22750367072623734</c:v>
                </c:pt>
                <c:pt idx="24">
                  <c:v>0.2376366430941797</c:v>
                </c:pt>
                <c:pt idx="25">
                  <c:v>0.24777359906788016</c:v>
                </c:pt>
                <c:pt idx="26">
                  <c:v>0.25791398742576094</c:v>
                </c:pt>
                <c:pt idx="27">
                  <c:v>0.26805729322178862</c:v>
                </c:pt>
                <c:pt idx="28">
                  <c:v>0.27820303414177699</c:v>
                </c:pt>
                <c:pt idx="29">
                  <c:v>0.28835075738945792</c:v>
                </c:pt>
                <c:pt idx="30">
                  <c:v>0.29850003700536903</c:v>
                </c:pt>
                <c:pt idx="31">
                  <c:v>0.30865047154203296</c:v>
                </c:pt>
                <c:pt idx="32">
                  <c:v>0.31880168203450238</c:v>
                </c:pt>
                <c:pt idx="33">
                  <c:v>0.32895331021736635</c:v>
                </c:pt>
                <c:pt idx="34">
                  <c:v>0.33910501694866874</c:v>
                </c:pt>
                <c:pt idx="35">
                  <c:v>0.34925648080852872</c:v>
                </c:pt>
                <c:pt idx="36">
                  <c:v>0.35940739684605699</c:v>
                </c:pt>
                <c:pt idx="37">
                  <c:v>0.36955747545278489</c:v>
                </c:pt>
                <c:pt idx="38">
                  <c:v>0.37970644134453579</c:v>
                </c:pt>
                <c:pt idx="39">
                  <c:v>0.38985403263666113</c:v>
                </c:pt>
                <c:pt idx="40">
                  <c:v>0.4</c:v>
                </c:pt>
                <c:pt idx="41">
                  <c:v>0.41006404722146089</c:v>
                </c:pt>
                <c:pt idx="42">
                  <c:v>0.42012716741706774</c:v>
                </c:pt>
                <c:pt idx="43">
                  <c:v>0.43018926548227104</c:v>
                </c:pt>
                <c:pt idx="44">
                  <c:v>0.44025025063189782</c:v>
                </c:pt>
                <c:pt idx="45">
                  <c:v>0.45031003614179826</c:v>
                </c:pt>
                <c:pt idx="46">
                  <c:v>0.46036853910696907</c:v>
                </c:pt>
                <c:pt idx="47">
                  <c:v>0.47042568021427961</c:v>
                </c:pt>
                <c:pt idx="48">
                  <c:v>0.4804813835281781</c:v>
                </c:pt>
                <c:pt idx="49">
                  <c:v>0.49053557628796501</c:v>
                </c:pt>
                <c:pt idx="50">
                  <c:v>0.50058818871540367</c:v>
                </c:pt>
                <c:pt idx="51">
                  <c:v>0.51063915383159031</c:v>
                </c:pt>
                <c:pt idx="52">
                  <c:v>0.52068840728213739</c:v>
                </c:pt>
                <c:pt idx="53">
                  <c:v>0.53073588716984121</c:v>
                </c:pt>
                <c:pt idx="54">
                  <c:v>0.54078153389409733</c:v>
                </c:pt>
                <c:pt idx="55">
                  <c:v>0.550825289996417</c:v>
                </c:pt>
                <c:pt idx="56">
                  <c:v>0.56086710001147067</c:v>
                </c:pt>
                <c:pt idx="57">
                  <c:v>0.57090691032314489</c:v>
                </c:pt>
                <c:pt idx="58">
                  <c:v>0.58094466902516173</c:v>
                </c:pt>
                <c:pt idx="59">
                  <c:v>0.59098032578585091</c:v>
                </c:pt>
                <c:pt idx="60">
                  <c:v>0.60101383171671552</c:v>
                </c:pt>
                <c:pt idx="61">
                  <c:v>0.61104513924446413</c:v>
                </c:pt>
                <c:pt idx="62">
                  <c:v>0.62107420198621854</c:v>
                </c:pt>
                <c:pt idx="63">
                  <c:v>0.63110097462763404</c:v>
                </c:pt>
                <c:pt idx="64">
                  <c:v>0.64112541280369728</c:v>
                </c:pt>
                <c:pt idx="65">
                  <c:v>0.65114747298198739</c:v>
                </c:pt>
                <c:pt idx="66">
                  <c:v>0.66116711234820824</c:v>
                </c:pt>
                <c:pt idx="67">
                  <c:v>0.67118428869381719</c:v>
                </c:pt>
                <c:pt idx="68">
                  <c:v>0.68119896030559324</c:v>
                </c:pt>
                <c:pt idx="69">
                  <c:v>0.69121108585699942</c:v>
                </c:pt>
                <c:pt idx="70">
                  <c:v>0.7012206243012109</c:v>
                </c:pt>
                <c:pt idx="71">
                  <c:v>0.71122753476568779</c:v>
                </c:pt>
                <c:pt idx="72">
                  <c:v>0.72123177644818748</c:v>
                </c:pt>
                <c:pt idx="73">
                  <c:v>0.73123330851411472</c:v>
                </c:pt>
                <c:pt idx="74">
                  <c:v>0.7412320899951208</c:v>
                </c:pt>
                <c:pt idx="75">
                  <c:v>0.75122807968886962</c:v>
                </c:pt>
                <c:pt idx="76">
                  <c:v>0.761221236059894</c:v>
                </c:pt>
                <c:pt idx="77">
                  <c:v>0.77121151714147318</c:v>
                </c:pt>
                <c:pt idx="78">
                  <c:v>0.78119888043846886</c:v>
                </c:pt>
                <c:pt idx="79">
                  <c:v>0.79118328283106021</c:v>
                </c:pt>
                <c:pt idx="80">
                  <c:v>0.80116468047932532</c:v>
                </c:pt>
                <c:pt idx="81">
                  <c:v>0.81114302872861777</c:v>
                </c:pt>
                <c:pt idx="82">
                  <c:v>0.8211182820156957</c:v>
                </c:pt>
                <c:pt idx="83">
                  <c:v>0.83109039377555904</c:v>
                </c:pt>
                <c:pt idx="84">
                  <c:v>0.84105931634895703</c:v>
                </c:pt>
                <c:pt idx="85">
                  <c:v>0.85102500089053013</c:v>
                </c:pt>
                <c:pt idx="86">
                  <c:v>0.86098739727755447</c:v>
                </c:pt>
                <c:pt idx="87">
                  <c:v>0.87094645401925663</c:v>
                </c:pt>
                <c:pt idx="88">
                  <c:v>0.88090211816667152</c:v>
                </c:pt>
                <c:pt idx="89">
                  <c:v>0.8908543352230176</c:v>
                </c:pt>
                <c:pt idx="90">
                  <c:v>0.9008030490545641</c:v>
                </c:pt>
                <c:pt idx="91">
                  <c:v>0.91074820180196903</c:v>
                </c:pt>
                <c:pt idx="92">
                  <c:v>0.92068973379206664</c:v>
                </c:pt>
                <c:pt idx="93">
                  <c:v>0.93062758345008556</c:v>
                </c:pt>
                <c:pt idx="94">
                  <c:v>0.94056168721227862</c:v>
                </c:pt>
                <c:pt idx="95">
                  <c:v>0.95049197943895003</c:v>
                </c:pt>
                <c:pt idx="96">
                  <c:v>0.96041839232786141</c:v>
                </c:pt>
                <c:pt idx="97">
                  <c:v>0.97034085582800567</c:v>
                </c:pt>
                <c:pt idx="98">
                  <c:v>0.9802592975537332</c:v>
                </c:pt>
                <c:pt idx="99">
                  <c:v>0.99017364269921915</c:v>
                </c:pt>
                <c:pt idx="100">
                  <c:v>1.00008381395326</c:v>
                </c:pt>
              </c:numCache>
            </c:numRef>
          </c:xVal>
          <c:yVal>
            <c:numRef>
              <c:f>nsiv.io!$G$12:$G$112</c:f>
              <c:numCache>
                <c:formatCode>0.000000</c:formatCode>
                <c:ptCount val="101"/>
                <c:pt idx="0">
                  <c:v>0</c:v>
                </c:pt>
                <c:pt idx="1">
                  <c:v>1.7944167450154029E-2</c:v>
                </c:pt>
                <c:pt idx="2">
                  <c:v>2.5442001744770088E-2</c:v>
                </c:pt>
                <c:pt idx="3">
                  <c:v>3.1168214685038054E-2</c:v>
                </c:pt>
                <c:pt idx="4">
                  <c:v>3.5947291271922116E-2</c:v>
                </c:pt>
                <c:pt idx="5">
                  <c:v>4.0099055446975583E-2</c:v>
                </c:pt>
                <c:pt idx="6">
                  <c:v>4.3787924400199074E-2</c:v>
                </c:pt>
                <c:pt idx="7">
                  <c:v>4.7111901378671377E-2</c:v>
                </c:pt>
                <c:pt idx="8">
                  <c:v>5.0135126020161472E-2</c:v>
                </c:pt>
                <c:pt idx="9">
                  <c:v>5.2902398050156632E-2</c:v>
                </c:pt>
                <c:pt idx="10">
                  <c:v>5.5446554350033185E-2</c:v>
                </c:pt>
                <c:pt idx="11">
                  <c:v>5.779257822825519E-2</c:v>
                </c:pt>
                <c:pt idx="12">
                  <c:v>5.9960053035713556E-2</c:v>
                </c:pt>
                <c:pt idx="13">
                  <c:v>6.1964709005876098E-2</c:v>
                </c:pt>
                <c:pt idx="14">
                  <c:v>6.3819442052199082E-2</c:v>
                </c:pt>
                <c:pt idx="15">
                  <c:v>6.5535009404082106E-2</c:v>
                </c:pt>
                <c:pt idx="16">
                  <c:v>6.7120519162705033E-2</c:v>
                </c:pt>
                <c:pt idx="17">
                  <c:v>6.8583783805480747E-2</c:v>
                </c:pt>
                <c:pt idx="18">
                  <c:v>6.9931581171460463E-2</c:v>
                </c:pt>
                <c:pt idx="19">
                  <c:v>7.1169850898717912E-2</c:v>
                </c:pt>
                <c:pt idx="20">
                  <c:v>7.2303844809106371E-2</c:v>
                </c:pt>
                <c:pt idx="21">
                  <c:v>7.3338243781482182E-2</c:v>
                </c:pt>
                <c:pt idx="22">
                  <c:v>7.427724980810349E-2</c:v>
                </c:pt>
                <c:pt idx="23">
                  <c:v>7.5124659382650852E-2</c:v>
                </c:pt>
                <c:pt idx="24">
                  <c:v>7.5883922645507529E-2</c:v>
                </c:pt>
                <c:pt idx="25">
                  <c:v>7.6558191523195457E-2</c:v>
                </c:pt>
                <c:pt idx="26">
                  <c:v>7.7150359263973969E-2</c:v>
                </c:pt>
                <c:pt idx="27">
                  <c:v>7.7663093175735512E-2</c:v>
                </c:pt>
                <c:pt idx="28">
                  <c:v>7.8098861940768052E-2</c:v>
                </c:pt>
                <c:pt idx="29">
                  <c:v>7.8459958565165244E-2</c:v>
                </c:pt>
                <c:pt idx="30">
                  <c:v>7.8748519785237475E-2</c:v>
                </c:pt>
                <c:pt idx="31">
                  <c:v>7.8966542576312235E-2</c:v>
                </c:pt>
                <c:pt idx="32">
                  <c:v>7.9115898274880636E-2</c:v>
                </c:pt>
                <c:pt idx="33">
                  <c:v>7.9198344721923428E-2</c:v>
                </c:pt>
                <c:pt idx="34">
                  <c:v>7.9215536755417718E-2</c:v>
                </c:pt>
                <c:pt idx="35">
                  <c:v>7.9169035317698894E-2</c:v>
                </c:pt>
                <c:pt idx="36">
                  <c:v>7.9060315394301986E-2</c:v>
                </c:pt>
                <c:pt idx="37">
                  <c:v>7.8890772962016006E-2</c:v>
                </c:pt>
                <c:pt idx="38">
                  <c:v>7.8661731092837472E-2</c:v>
                </c:pt>
                <c:pt idx="39">
                  <c:v>7.8374445335549978E-2</c:v>
                </c:pt>
                <c:pt idx="40">
                  <c:v>7.8030108476479024E-2</c:v>
                </c:pt>
                <c:pt idx="41">
                  <c:v>7.7636943759294502E-2</c:v>
                </c:pt>
                <c:pt idx="42">
                  <c:v>7.7203115458259752E-2</c:v>
                </c:pt>
                <c:pt idx="43">
                  <c:v>7.6729644681321596E-2</c:v>
                </c:pt>
                <c:pt idx="44">
                  <c:v>7.6217503288124169E-2</c:v>
                </c:pt>
                <c:pt idx="45">
                  <c:v>7.5667616634794904E-2</c:v>
                </c:pt>
                <c:pt idx="46">
                  <c:v>7.5080866045352912E-2</c:v>
                </c:pt>
                <c:pt idx="47">
                  <c:v>7.4458091042301403E-2</c:v>
                </c:pt>
                <c:pt idx="48">
                  <c:v>7.3800091364484607E-2</c:v>
                </c:pt>
                <c:pt idx="49">
                  <c:v>7.3107628796503857E-2</c:v>
                </c:pt>
                <c:pt idx="50">
                  <c:v>7.2381428830779637E-2</c:v>
                </c:pt>
                <c:pt idx="51">
                  <c:v>7.162218218061725E-2</c:v>
                </c:pt>
                <c:pt idx="52">
                  <c:v>7.08305461603045E-2</c:v>
                </c:pt>
                <c:pt idx="53">
                  <c:v>7.0007145946273747E-2</c:v>
                </c:pt>
                <c:pt idx="54">
                  <c:v>6.9152575731648722E-2</c:v>
                </c:pt>
                <c:pt idx="55">
                  <c:v>6.8267399785017377E-2</c:v>
                </c:pt>
                <c:pt idx="56">
                  <c:v>6.7352153422998065E-2</c:v>
                </c:pt>
                <c:pt idx="57">
                  <c:v>6.6407343905058674E-2</c:v>
                </c:pt>
                <c:pt idx="58">
                  <c:v>6.5433451258088166E-2</c:v>
                </c:pt>
                <c:pt idx="59">
                  <c:v>6.4430929037382484E-2</c:v>
                </c:pt>
                <c:pt idx="60">
                  <c:v>6.340020502997562E-2</c:v>
                </c:pt>
                <c:pt idx="61">
                  <c:v>6.2341681905606475E-2</c:v>
                </c:pt>
                <c:pt idx="62">
                  <c:v>6.125573782005056E-2</c:v>
                </c:pt>
                <c:pt idx="63">
                  <c:v>6.0142726975050756E-2</c:v>
                </c:pt>
                <c:pt idx="64">
                  <c:v>5.9002980138647798E-2</c:v>
                </c:pt>
                <c:pt idx="65">
                  <c:v>5.7836805129323862E-2</c:v>
                </c:pt>
                <c:pt idx="66">
                  <c:v>5.6644487267035137E-2</c:v>
                </c:pt>
                <c:pt idx="67">
                  <c:v>5.5426289793905265E-2</c:v>
                </c:pt>
                <c:pt idx="68">
                  <c:v>5.4182454267084096E-2</c:v>
                </c:pt>
                <c:pt idx="69">
                  <c:v>5.29132009260386E-2</c:v>
                </c:pt>
                <c:pt idx="70">
                  <c:v>5.1618729036327832E-2</c:v>
                </c:pt>
                <c:pt idx="71">
                  <c:v>5.0299217211725963E-2</c:v>
                </c:pt>
                <c:pt idx="72">
                  <c:v>4.8954823716385688E-2</c:v>
                </c:pt>
                <c:pt idx="73">
                  <c:v>4.758568674858274E-2</c:v>
                </c:pt>
                <c:pt idx="74">
                  <c:v>4.619192470744532E-2</c:v>
                </c:pt>
                <c:pt idx="75">
                  <c:v>4.4773636443949508E-2</c:v>
                </c:pt>
                <c:pt idx="76">
                  <c:v>4.3330901497349597E-2</c:v>
                </c:pt>
                <c:pt idx="77">
                  <c:v>4.1863780318115378E-2</c:v>
                </c:pt>
                <c:pt idx="78">
                  <c:v>4.0372314478354494E-2</c:v>
                </c:pt>
                <c:pt idx="79">
                  <c:v>3.8856526870620411E-2</c:v>
                </c:pt>
                <c:pt idx="80">
                  <c:v>3.7316421895928972E-2</c:v>
                </c:pt>
                <c:pt idx="81">
                  <c:v>3.5751985641743159E-2</c:v>
                </c:pt>
                <c:pt idx="82">
                  <c:v>3.4163186050622317E-2</c:v>
                </c:pt>
                <c:pt idx="83">
                  <c:v>3.2549973080178152E-2</c:v>
                </c:pt>
                <c:pt idx="84">
                  <c:v>3.0912278854929677E-2</c:v>
                </c:pt>
                <c:pt idx="85">
                  <c:v>2.9250017810602838E-2</c:v>
                </c:pt>
                <c:pt idx="86">
                  <c:v>2.7563086831379768E-2</c:v>
                </c:pt>
                <c:pt idx="87">
                  <c:v>2.5851365380563773E-2</c:v>
                </c:pt>
                <c:pt idx="88">
                  <c:v>2.4114715625091369E-2</c:v>
                </c:pt>
                <c:pt idx="89">
                  <c:v>2.2352982554291991E-2</c:v>
                </c:pt>
                <c:pt idx="90">
                  <c:v>2.0565994093264678E-2</c:v>
                </c:pt>
                <c:pt idx="91">
                  <c:v>1.875356121121715E-2</c:v>
                </c:pt>
                <c:pt idx="92">
                  <c:v>1.6915478025084592E-2</c:v>
                </c:pt>
                <c:pt idx="93">
                  <c:v>1.5051521898726819E-2</c:v>
                </c:pt>
                <c:pt idx="94">
                  <c:v>1.3161453537978559E-2</c:v>
                </c:pt>
                <c:pt idx="95">
                  <c:v>1.1245017081810095E-2</c:v>
                </c:pt>
                <c:pt idx="96">
                  <c:v>9.3019401898375466E-3</c:v>
                </c:pt>
                <c:pt idx="97">
                  <c:v>7.3319341264061547E-3</c:v>
                </c:pt>
                <c:pt idx="98">
                  <c:v>5.3346938414542168E-3</c:v>
                </c:pt>
                <c:pt idx="99">
                  <c:v>3.3098980483522258E-3</c:v>
                </c:pt>
                <c:pt idx="100">
                  <c:v>1.2572092988993051E-3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166-4A44-8AC2-035A55660620}"/>
            </c:ext>
          </c:extLst>
        </c:ser>
        <c:ser>
          <c:idx val="2"/>
          <c:order val="2"/>
          <c:tx>
            <c:v>Intrados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nsiv.io!$H$12:$H$112</c:f>
              <c:numCache>
                <c:formatCode>0.000000</c:formatCode>
                <c:ptCount val="101"/>
                <c:pt idx="0">
                  <c:v>0</c:v>
                </c:pt>
                <c:pt idx="1">
                  <c:v>1.1653275076390019E-2</c:v>
                </c:pt>
                <c:pt idx="2">
                  <c:v>2.2231740165753158E-2</c:v>
                </c:pt>
                <c:pt idx="3">
                  <c:v>3.2615966108366021E-2</c:v>
                </c:pt>
                <c:pt idx="4">
                  <c:v>4.2893256214472993E-2</c:v>
                </c:pt>
                <c:pt idx="5">
                  <c:v>5.3098511101610367E-2</c:v>
                </c:pt>
                <c:pt idx="6">
                  <c:v>6.3250223574016926E-2</c:v>
                </c:pt>
                <c:pt idx="7">
                  <c:v>7.33597631137404E-2</c:v>
                </c:pt>
                <c:pt idx="8">
                  <c:v>8.3434810081612923E-2</c:v>
                </c:pt>
                <c:pt idx="9">
                  <c:v>9.3480904598887138E-2</c:v>
                </c:pt>
                <c:pt idx="10">
                  <c:v>0.1035022415762525</c:v>
                </c:pt>
                <c:pt idx="11">
                  <c:v>0.1135021181715485</c:v>
                </c:pt>
                <c:pt idx="12">
                  <c:v>0.12348320371249995</c:v>
                </c:pt>
                <c:pt idx="13">
                  <c:v>0.13344771160789665</c:v>
                </c:pt>
                <c:pt idx="14">
                  <c:v>0.14339751373339296</c:v>
                </c:pt>
                <c:pt idx="15">
                  <c:v>0.15333421933775512</c:v>
                </c:pt>
                <c:pt idx="16">
                  <c:v>0.16325923114976232</c:v>
                </c:pt>
                <c:pt idx="17">
                  <c:v>0.17317378631881516</c:v>
                </c:pt>
                <c:pt idx="18">
                  <c:v>0.18307898696443031</c:v>
                </c:pt>
                <c:pt idx="19">
                  <c:v>0.1929758234221827</c:v>
                </c:pt>
                <c:pt idx="20">
                  <c:v>0.20286519224045532</c:v>
                </c:pt>
                <c:pt idx="21">
                  <c:v>0.2127479103296204</c:v>
                </c:pt>
                <c:pt idx="22">
                  <c:v>0.22262472624136465</c:v>
                </c:pt>
                <c:pt idx="23">
                  <c:v>0.23249632927376268</c:v>
                </c:pt>
                <c:pt idx="24">
                  <c:v>0.24236335690582028</c:v>
                </c:pt>
                <c:pt idx="25">
                  <c:v>0.25222640093211984</c:v>
                </c:pt>
                <c:pt idx="26">
                  <c:v>0.26208601257423908</c:v>
                </c:pt>
                <c:pt idx="27">
                  <c:v>0.27194270677821142</c:v>
                </c:pt>
                <c:pt idx="28">
                  <c:v>0.28179696585822306</c:v>
                </c:pt>
                <c:pt idx="29">
                  <c:v>0.29164924261054204</c:v>
                </c:pt>
                <c:pt idx="30">
                  <c:v>0.30149996299463094</c:v>
                </c:pt>
                <c:pt idx="31">
                  <c:v>0.31134952845796704</c:v>
                </c:pt>
                <c:pt idx="32">
                  <c:v>0.32119831796549764</c:v>
                </c:pt>
                <c:pt idx="33">
                  <c:v>0.33104668978263369</c:v>
                </c:pt>
                <c:pt idx="34">
                  <c:v>0.34089498305133131</c:v>
                </c:pt>
                <c:pt idx="35">
                  <c:v>0.35074351919147123</c:v>
                </c:pt>
                <c:pt idx="36">
                  <c:v>0.36059260315394298</c:v>
                </c:pt>
                <c:pt idx="37">
                  <c:v>0.3704425245472151</c:v>
                </c:pt>
                <c:pt idx="38">
                  <c:v>0.38029355865546421</c:v>
                </c:pt>
                <c:pt idx="39">
                  <c:v>0.3901459673633389</c:v>
                </c:pt>
                <c:pt idx="40">
                  <c:v>0.4</c:v>
                </c:pt>
                <c:pt idx="41">
                  <c:v>0.40993595277853906</c:v>
                </c:pt>
                <c:pt idx="42">
                  <c:v>0.41987283258293223</c:v>
                </c:pt>
                <c:pt idx="43">
                  <c:v>0.42981073451772894</c:v>
                </c:pt>
                <c:pt idx="44">
                  <c:v>0.43974974936810218</c:v>
                </c:pt>
                <c:pt idx="45">
                  <c:v>0.44968996385820176</c:v>
                </c:pt>
                <c:pt idx="46">
                  <c:v>0.45963146089303097</c:v>
                </c:pt>
                <c:pt idx="47">
                  <c:v>0.46957431978572034</c:v>
                </c:pt>
                <c:pt idx="48">
                  <c:v>0.47951861647182187</c:v>
                </c:pt>
                <c:pt idx="49">
                  <c:v>0.48946442371203497</c:v>
                </c:pt>
                <c:pt idx="50">
                  <c:v>0.49941181128459627</c:v>
                </c:pt>
                <c:pt idx="51">
                  <c:v>0.50936084616840971</c:v>
                </c:pt>
                <c:pt idx="52">
                  <c:v>0.51931159271786265</c:v>
                </c:pt>
                <c:pt idx="53">
                  <c:v>0.52926411283015884</c:v>
                </c:pt>
                <c:pt idx="54">
                  <c:v>0.53921846610590274</c:v>
                </c:pt>
                <c:pt idx="55">
                  <c:v>0.54917471000358309</c:v>
                </c:pt>
                <c:pt idx="56">
                  <c:v>0.55913289998852944</c:v>
                </c:pt>
                <c:pt idx="57">
                  <c:v>0.56909308967685501</c:v>
                </c:pt>
                <c:pt idx="58">
                  <c:v>0.57905533097483819</c:v>
                </c:pt>
                <c:pt idx="59">
                  <c:v>0.58901967421414902</c:v>
                </c:pt>
                <c:pt idx="60">
                  <c:v>0.59898616828328444</c:v>
                </c:pt>
                <c:pt idx="61">
                  <c:v>0.60895486075553584</c:v>
                </c:pt>
                <c:pt idx="62">
                  <c:v>0.61892579801378145</c:v>
                </c:pt>
                <c:pt idx="63">
                  <c:v>0.62889902537236597</c:v>
                </c:pt>
                <c:pt idx="64">
                  <c:v>0.63887458719630275</c:v>
                </c:pt>
                <c:pt idx="65">
                  <c:v>0.64885252701801266</c:v>
                </c:pt>
                <c:pt idx="66">
                  <c:v>0.65883288765179182</c:v>
                </c:pt>
                <c:pt idx="67">
                  <c:v>0.66881571130618289</c:v>
                </c:pt>
                <c:pt idx="68">
                  <c:v>0.67880103969440686</c:v>
                </c:pt>
                <c:pt idx="69">
                  <c:v>0.68878891414300047</c:v>
                </c:pt>
                <c:pt idx="70">
                  <c:v>0.69877937569878901</c:v>
                </c:pt>
                <c:pt idx="71">
                  <c:v>0.70877246523431214</c:v>
                </c:pt>
                <c:pt idx="72">
                  <c:v>0.71876822355181247</c:v>
                </c:pt>
                <c:pt idx="73">
                  <c:v>0.72876669148588524</c:v>
                </c:pt>
                <c:pt idx="74">
                  <c:v>0.73876791000487918</c:v>
                </c:pt>
                <c:pt idx="75">
                  <c:v>0.74877192031113038</c:v>
                </c:pt>
                <c:pt idx="76">
                  <c:v>0.75877876394010602</c:v>
                </c:pt>
                <c:pt idx="77">
                  <c:v>0.76878848285852686</c:v>
                </c:pt>
                <c:pt idx="78">
                  <c:v>0.7788011195615312</c:v>
                </c:pt>
                <c:pt idx="79">
                  <c:v>0.78881671716893986</c:v>
                </c:pt>
                <c:pt idx="80">
                  <c:v>0.79883531952067477</c:v>
                </c:pt>
                <c:pt idx="81">
                  <c:v>0.80885697127138234</c:v>
                </c:pt>
                <c:pt idx="82">
                  <c:v>0.8188817179843042</c:v>
                </c:pt>
                <c:pt idx="83">
                  <c:v>0.82890960622444088</c:v>
                </c:pt>
                <c:pt idx="84">
                  <c:v>0.83894068365104291</c:v>
                </c:pt>
                <c:pt idx="85">
                  <c:v>0.84897499910946983</c:v>
                </c:pt>
                <c:pt idx="86">
                  <c:v>0.85901260272244551</c:v>
                </c:pt>
                <c:pt idx="87">
                  <c:v>0.86905354598074336</c:v>
                </c:pt>
                <c:pt idx="88">
                  <c:v>0.87909788183332849</c:v>
                </c:pt>
                <c:pt idx="89">
                  <c:v>0.88914566477698243</c:v>
                </c:pt>
                <c:pt idx="90">
                  <c:v>0.89919695094543595</c:v>
                </c:pt>
                <c:pt idx="91">
                  <c:v>0.90925179819803104</c:v>
                </c:pt>
                <c:pt idx="92">
                  <c:v>0.91931026620793344</c:v>
                </c:pt>
                <c:pt idx="93">
                  <c:v>0.92937241654991454</c:v>
                </c:pt>
                <c:pt idx="94">
                  <c:v>0.93943831278772127</c:v>
                </c:pt>
                <c:pt idx="95">
                  <c:v>0.94950802056104988</c:v>
                </c:pt>
                <c:pt idx="96">
                  <c:v>0.95958160767213851</c:v>
                </c:pt>
                <c:pt idx="97">
                  <c:v>0.96965914417199428</c:v>
                </c:pt>
                <c:pt idx="98">
                  <c:v>0.97974070244626676</c:v>
                </c:pt>
                <c:pt idx="99">
                  <c:v>0.98982635730078083</c:v>
                </c:pt>
                <c:pt idx="100">
                  <c:v>0.99991618604674004</c:v>
                </c:pt>
              </c:numCache>
            </c:numRef>
          </c:xVal>
          <c:yVal>
            <c:numRef>
              <c:f>nsiv.io!$I$12:$I$112</c:f>
              <c:numCache>
                <c:formatCode>0.000000</c:formatCode>
                <c:ptCount val="101"/>
                <c:pt idx="0">
                  <c:v>0</c:v>
                </c:pt>
                <c:pt idx="1">
                  <c:v>-1.5969167450154031E-2</c:v>
                </c:pt>
                <c:pt idx="2">
                  <c:v>-2.1542001744770087E-2</c:v>
                </c:pt>
                <c:pt idx="3">
                  <c:v>-2.5393214685038058E-2</c:v>
                </c:pt>
                <c:pt idx="4">
                  <c:v>-2.834729127192212E-2</c:v>
                </c:pt>
                <c:pt idx="5">
                  <c:v>-3.0724055446975585E-2</c:v>
                </c:pt>
                <c:pt idx="6">
                  <c:v>-3.2687924400199075E-2</c:v>
                </c:pt>
                <c:pt idx="7">
                  <c:v>-3.4336901378671382E-2</c:v>
                </c:pt>
                <c:pt idx="8">
                  <c:v>-3.5735126020161476E-2</c:v>
                </c:pt>
                <c:pt idx="9">
                  <c:v>-3.6927398050156643E-2</c:v>
                </c:pt>
                <c:pt idx="10">
                  <c:v>-3.7946554350033183E-2</c:v>
                </c:pt>
                <c:pt idx="11">
                  <c:v>-3.8817578228255184E-2</c:v>
                </c:pt>
                <c:pt idx="12">
                  <c:v>-3.9560053035713555E-2</c:v>
                </c:pt>
                <c:pt idx="13">
                  <c:v>-4.0189709005876095E-2</c:v>
                </c:pt>
                <c:pt idx="14">
                  <c:v>-4.071944205219908E-2</c:v>
                </c:pt>
                <c:pt idx="15">
                  <c:v>-4.1160009404082105E-2</c:v>
                </c:pt>
                <c:pt idx="16">
                  <c:v>-4.1520519162705043E-2</c:v>
                </c:pt>
                <c:pt idx="17">
                  <c:v>-4.1808783805480754E-2</c:v>
                </c:pt>
                <c:pt idx="18">
                  <c:v>-4.2031581171460476E-2</c:v>
                </c:pt>
                <c:pt idx="19">
                  <c:v>-4.2194850898717912E-2</c:v>
                </c:pt>
                <c:pt idx="20">
                  <c:v>-4.2303844809106372E-2</c:v>
                </c:pt>
                <c:pt idx="21">
                  <c:v>-4.2363243781482193E-2</c:v>
                </c:pt>
                <c:pt idx="22">
                  <c:v>-4.2377249808103493E-2</c:v>
                </c:pt>
                <c:pt idx="23">
                  <c:v>-4.2349659382650853E-2</c:v>
                </c:pt>
                <c:pt idx="24">
                  <c:v>-4.2283922645507524E-2</c:v>
                </c:pt>
                <c:pt idx="25">
                  <c:v>-4.2183191523195468E-2</c:v>
                </c:pt>
                <c:pt idx="26">
                  <c:v>-4.2050359263973977E-2</c:v>
                </c:pt>
                <c:pt idx="27">
                  <c:v>-4.1888093175735511E-2</c:v>
                </c:pt>
                <c:pt idx="28">
                  <c:v>-4.1698861940768051E-2</c:v>
                </c:pt>
                <c:pt idx="29">
                  <c:v>-4.148495856516525E-2</c:v>
                </c:pt>
                <c:pt idx="30">
                  <c:v>-4.1248519785237484E-2</c:v>
                </c:pt>
                <c:pt idx="31">
                  <c:v>-4.0991542576312254E-2</c:v>
                </c:pt>
                <c:pt idx="32">
                  <c:v>-4.0715898274880646E-2</c:v>
                </c:pt>
                <c:pt idx="33">
                  <c:v>-4.0423344721923438E-2</c:v>
                </c:pt>
                <c:pt idx="34">
                  <c:v>-4.0115536755417722E-2</c:v>
                </c:pt>
                <c:pt idx="35">
                  <c:v>-3.9794035317698914E-2</c:v>
                </c:pt>
                <c:pt idx="36">
                  <c:v>-3.946031539430199E-2</c:v>
                </c:pt>
                <c:pt idx="37">
                  <c:v>-3.9115772962016016E-2</c:v>
                </c:pt>
                <c:pt idx="38">
                  <c:v>-3.8761731092837461E-2</c:v>
                </c:pt>
                <c:pt idx="39">
                  <c:v>-3.8399445335549981E-2</c:v>
                </c:pt>
                <c:pt idx="40">
                  <c:v>-3.8030108476479016E-2</c:v>
                </c:pt>
                <c:pt idx="41">
                  <c:v>-3.7648054870405595E-2</c:v>
                </c:pt>
                <c:pt idx="42">
                  <c:v>-3.7247559902704196E-2</c:v>
                </c:pt>
                <c:pt idx="43">
                  <c:v>-3.6829644681321591E-2</c:v>
                </c:pt>
                <c:pt idx="44">
                  <c:v>-3.6395281065901938E-2</c:v>
                </c:pt>
                <c:pt idx="45">
                  <c:v>-3.5945394412572683E-2</c:v>
                </c:pt>
                <c:pt idx="46">
                  <c:v>-3.5480866045352909E-2</c:v>
                </c:pt>
                <c:pt idx="47">
                  <c:v>-3.5002535486745839E-2</c:v>
                </c:pt>
                <c:pt idx="48">
                  <c:v>-3.451120247559572E-2</c:v>
                </c:pt>
                <c:pt idx="49">
                  <c:v>-3.4007628796503861E-2</c:v>
                </c:pt>
                <c:pt idx="50">
                  <c:v>-3.3492539941890741E-2</c:v>
                </c:pt>
                <c:pt idx="51">
                  <c:v>-3.2966626625061703E-2</c:v>
                </c:pt>
                <c:pt idx="52">
                  <c:v>-3.243054616030451E-2</c:v>
                </c:pt>
                <c:pt idx="53">
                  <c:v>-3.1884923724051523E-2</c:v>
                </c:pt>
                <c:pt idx="54">
                  <c:v>-3.1330353509426506E-2</c:v>
                </c:pt>
                <c:pt idx="55">
                  <c:v>-3.0767399785017382E-2</c:v>
                </c:pt>
                <c:pt idx="56">
                  <c:v>-3.0196597867442512E-2</c:v>
                </c:pt>
                <c:pt idx="57">
                  <c:v>-2.9618455016169797E-2</c:v>
                </c:pt>
                <c:pt idx="58">
                  <c:v>-2.9033451258088174E-2</c:v>
                </c:pt>
                <c:pt idx="59">
                  <c:v>-2.8442040148493601E-2</c:v>
                </c:pt>
                <c:pt idx="60">
                  <c:v>-2.7844649474420061E-2</c:v>
                </c:pt>
                <c:pt idx="61">
                  <c:v>-2.7241681905606479E-2</c:v>
                </c:pt>
                <c:pt idx="62">
                  <c:v>-2.6633515597828349E-2</c:v>
                </c:pt>
                <c:pt idx="63">
                  <c:v>-2.6020504752828546E-2</c:v>
                </c:pt>
                <c:pt idx="64">
                  <c:v>-2.5402980138647797E-2</c:v>
                </c:pt>
                <c:pt idx="65">
                  <c:v>-2.4781249573768312E-2</c:v>
                </c:pt>
                <c:pt idx="66">
                  <c:v>-2.4155598378146251E-2</c:v>
                </c:pt>
                <c:pt idx="67">
                  <c:v>-2.3526289793905277E-2</c:v>
                </c:pt>
                <c:pt idx="68">
                  <c:v>-2.2893565378195216E-2</c:v>
                </c:pt>
                <c:pt idx="69">
                  <c:v>-2.2257645370483043E-2</c:v>
                </c:pt>
                <c:pt idx="70">
                  <c:v>-2.1618729036327833E-2</c:v>
                </c:pt>
                <c:pt idx="71">
                  <c:v>-2.0976994989503752E-2</c:v>
                </c:pt>
                <c:pt idx="72">
                  <c:v>-2.0332601494163473E-2</c:v>
                </c:pt>
                <c:pt idx="73">
                  <c:v>-1.9685686748582742E-2</c:v>
                </c:pt>
                <c:pt idx="74">
                  <c:v>-1.9036369151889772E-2</c:v>
                </c:pt>
                <c:pt idx="75">
                  <c:v>-1.8384747555060615E-2</c:v>
                </c:pt>
                <c:pt idx="76">
                  <c:v>-1.7730901497349585E-2</c:v>
                </c:pt>
                <c:pt idx="77">
                  <c:v>-1.7074891429226483E-2</c:v>
                </c:pt>
                <c:pt idx="78">
                  <c:v>-1.6416758922798938E-2</c:v>
                </c:pt>
                <c:pt idx="79">
                  <c:v>-1.5756526870620416E-2</c:v>
                </c:pt>
                <c:pt idx="80">
                  <c:v>-1.5094199673706756E-2</c:v>
                </c:pt>
                <c:pt idx="81">
                  <c:v>-1.4429763419520939E-2</c:v>
                </c:pt>
                <c:pt idx="82">
                  <c:v>-1.3763186050622307E-2</c:v>
                </c:pt>
                <c:pt idx="83">
                  <c:v>-1.3094417524622592E-2</c:v>
                </c:pt>
                <c:pt idx="84">
                  <c:v>-1.2423389966040775E-2</c:v>
                </c:pt>
                <c:pt idx="85">
                  <c:v>-1.1750017810602828E-2</c:v>
                </c:pt>
                <c:pt idx="86">
                  <c:v>-1.1074197942490868E-2</c:v>
                </c:pt>
                <c:pt idx="87">
                  <c:v>-1.0395809825008217E-2</c:v>
                </c:pt>
                <c:pt idx="88">
                  <c:v>-9.7147156250913646E-3</c:v>
                </c:pt>
                <c:pt idx="89">
                  <c:v>-9.0307603320697698E-3</c:v>
                </c:pt>
                <c:pt idx="90">
                  <c:v>-8.3437718710424585E-3</c:v>
                </c:pt>
                <c:pt idx="91">
                  <c:v>-7.6535612112171511E-3</c:v>
                </c:pt>
                <c:pt idx="92">
                  <c:v>-6.959922469529034E-3</c:v>
                </c:pt>
                <c:pt idx="93">
                  <c:v>-6.2626330098379344E-3</c:v>
                </c:pt>
                <c:pt idx="94">
                  <c:v>-5.5614535379785567E-3</c:v>
                </c:pt>
                <c:pt idx="95">
                  <c:v>-4.8561281929212063E-3</c:v>
                </c:pt>
                <c:pt idx="96">
                  <c:v>-4.1463846342819919E-3</c:v>
                </c:pt>
                <c:pt idx="97">
                  <c:v>-3.4319341264061522E-3</c:v>
                </c:pt>
                <c:pt idx="98">
                  <c:v>-2.7124716192319866E-3</c:v>
                </c:pt>
                <c:pt idx="99">
                  <c:v>-1.9876758261300012E-3</c:v>
                </c:pt>
                <c:pt idx="100">
                  <c:v>-1.2572092988993051E-3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166-4A44-8AC2-035A55660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312704"/>
        <c:axId val="571313120"/>
      </c:scatterChart>
      <c:valAx>
        <c:axId val="5713127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71313120"/>
        <c:crosses val="autoZero"/>
        <c:crossBetween val="midCat"/>
      </c:valAx>
      <c:valAx>
        <c:axId val="57131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71312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104773</xdr:colOff>
      <xdr:row>20</xdr:row>
      <xdr:rowOff>142875</xdr:rowOff>
    </xdr:from>
    <xdr:to>
      <xdr:col>20</xdr:col>
      <xdr:colOff>428624</xdr:colOff>
      <xdr:row>34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082A434-AF03-4695-A753-6A76318AA4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609600</xdr:colOff>
      <xdr:row>0</xdr:row>
      <xdr:rowOff>95250</xdr:rowOff>
    </xdr:from>
    <xdr:to>
      <xdr:col>18</xdr:col>
      <xdr:colOff>257175</xdr:colOff>
      <xdr:row>12</xdr:row>
      <xdr:rowOff>135134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780F96-01E2-4673-9CF6-8D4972F73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19750" y="95250"/>
          <a:ext cx="5743575" cy="272593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11</xdr:col>
      <xdr:colOff>352425</xdr:colOff>
      <xdr:row>13</xdr:row>
      <xdr:rowOff>104775</xdr:rowOff>
    </xdr:from>
    <xdr:to>
      <xdr:col>17</xdr:col>
      <xdr:colOff>513758</xdr:colOff>
      <xdr:row>19</xdr:row>
      <xdr:rowOff>37965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38D2437-632E-488F-B230-A14394489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24575" y="2981325"/>
          <a:ext cx="4733333" cy="107619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siv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2BC49-B1F1-4F3A-92A2-7DE7C65BDDAC}">
  <dimension ref="A1:I112"/>
  <sheetViews>
    <sheetView tabSelected="1" zoomScale="115" zoomScaleNormal="115" workbookViewId="0">
      <selection activeCell="A3" sqref="A3:I3"/>
    </sheetView>
  </sheetViews>
  <sheetFormatPr baseColWidth="10" defaultRowHeight="15" x14ac:dyDescent="0.25"/>
  <cols>
    <col min="1" max="1" width="11.5703125" style="1" customWidth="1"/>
    <col min="2" max="2" width="11.42578125" style="1"/>
    <col min="3" max="3" width="0" style="1" hidden="1" customWidth="1"/>
    <col min="4" max="4" width="13" style="1" hidden="1" customWidth="1"/>
    <col min="5" max="5" width="11.85546875" style="1" hidden="1" customWidth="1"/>
    <col min="6" max="6" width="13.5703125" style="1" customWidth="1"/>
    <col min="7" max="9" width="11.42578125" style="1"/>
    <col min="10" max="10" width="4.28515625" style="1" customWidth="1"/>
    <col min="11" max="16384" width="11.42578125" style="1"/>
  </cols>
  <sheetData>
    <row r="1" spans="1:9" ht="21.75" thickBot="1" x14ac:dyDescent="0.4">
      <c r="A1" s="43" t="s">
        <v>0</v>
      </c>
      <c r="B1" s="44"/>
      <c r="C1" s="44"/>
      <c r="D1" s="44"/>
      <c r="E1" s="44"/>
      <c r="F1" s="44"/>
      <c r="G1" s="44"/>
      <c r="H1" s="44"/>
      <c r="I1" s="45"/>
    </row>
    <row r="2" spans="1:9" ht="21" customHeight="1" x14ac:dyDescent="0.35">
      <c r="A2" s="49" t="s">
        <v>17</v>
      </c>
      <c r="B2" s="50"/>
      <c r="C2" s="50"/>
      <c r="D2" s="50"/>
      <c r="E2" s="50"/>
      <c r="F2" s="50"/>
      <c r="G2" s="50"/>
      <c r="H2" s="50"/>
      <c r="I2" s="51"/>
    </row>
    <row r="3" spans="1:9" ht="18.75" customHeight="1" thickBot="1" x14ac:dyDescent="0.35">
      <c r="A3" s="46" t="s">
        <v>18</v>
      </c>
      <c r="B3" s="47"/>
      <c r="C3" s="47"/>
      <c r="D3" s="47"/>
      <c r="E3" s="47"/>
      <c r="F3" s="47"/>
      <c r="G3" s="47"/>
      <c r="H3" s="47"/>
      <c r="I3" s="48"/>
    </row>
    <row r="4" spans="1:9" ht="21.75" thickBot="1" x14ac:dyDescent="0.4">
      <c r="A4" s="19"/>
      <c r="B4" s="20"/>
      <c r="C4" s="20"/>
      <c r="D4" s="20"/>
      <c r="E4" s="20"/>
      <c r="F4" s="20"/>
      <c r="G4" s="20"/>
      <c r="H4" s="20"/>
      <c r="I4" s="20"/>
    </row>
    <row r="5" spans="1:9" ht="17.25" customHeight="1" thickBot="1" x14ac:dyDescent="0.4">
      <c r="A5" s="20"/>
      <c r="B5" s="20"/>
      <c r="C5" s="20"/>
      <c r="D5" s="20"/>
      <c r="E5" s="20"/>
      <c r="F5" s="19"/>
      <c r="G5" s="23" t="s">
        <v>3</v>
      </c>
      <c r="H5" s="24" t="s">
        <v>4</v>
      </c>
      <c r="I5" s="25" t="s">
        <v>5</v>
      </c>
    </row>
    <row r="6" spans="1:9" ht="16.5" thickBot="1" x14ac:dyDescent="0.3">
      <c r="A6" s="20"/>
      <c r="B6" s="20"/>
      <c r="C6" s="20"/>
      <c r="D6" s="20"/>
      <c r="E6" s="20"/>
      <c r="F6" s="22" t="s">
        <v>1</v>
      </c>
      <c r="G6" s="2">
        <v>2</v>
      </c>
      <c r="H6" s="3">
        <v>4</v>
      </c>
      <c r="I6" s="4">
        <v>12</v>
      </c>
    </row>
    <row r="7" spans="1:9" ht="15.75" x14ac:dyDescent="0.25">
      <c r="A7" s="20"/>
      <c r="B7" s="20"/>
      <c r="C7" s="20"/>
      <c r="D7" s="20"/>
      <c r="E7" s="20"/>
      <c r="F7" s="20"/>
      <c r="G7" s="21">
        <f>G6/100</f>
        <v>0.02</v>
      </c>
      <c r="H7" s="21">
        <f>H6/10</f>
        <v>0.4</v>
      </c>
      <c r="I7" s="21">
        <f>I6/100</f>
        <v>0.12</v>
      </c>
    </row>
    <row r="9" spans="1:9" ht="15.75" thickBot="1" x14ac:dyDescent="0.3"/>
    <row r="10" spans="1:9" ht="16.5" thickBot="1" x14ac:dyDescent="0.3">
      <c r="A10" s="41" t="s">
        <v>14</v>
      </c>
      <c r="B10" s="42"/>
      <c r="C10" s="5"/>
      <c r="D10" s="5"/>
      <c r="E10" s="5"/>
      <c r="F10" s="41" t="s">
        <v>15</v>
      </c>
      <c r="G10" s="42"/>
      <c r="H10" s="41" t="s">
        <v>16</v>
      </c>
      <c r="I10" s="42"/>
    </row>
    <row r="11" spans="1:9" ht="16.5" thickBot="1" x14ac:dyDescent="0.3">
      <c r="A11" s="6" t="s">
        <v>11</v>
      </c>
      <c r="B11" s="7" t="s">
        <v>2</v>
      </c>
      <c r="C11" s="8" t="s">
        <v>6</v>
      </c>
      <c r="D11" s="7" t="s">
        <v>7</v>
      </c>
      <c r="E11" s="8" t="s">
        <v>8</v>
      </c>
      <c r="F11" s="7" t="s">
        <v>9</v>
      </c>
      <c r="G11" s="9" t="s">
        <v>10</v>
      </c>
      <c r="H11" s="7" t="s">
        <v>12</v>
      </c>
      <c r="I11" s="9" t="s">
        <v>13</v>
      </c>
    </row>
    <row r="12" spans="1:9" x14ac:dyDescent="0.25">
      <c r="A12" s="26">
        <v>0</v>
      </c>
      <c r="B12" s="27">
        <f t="shared" ref="B12:B43" si="0">IF(A12&lt;$H$7,(($G$7/$H$7^2)*(2*$H$7*A12-A12^2)),(($G$7/(1-$H$7)^2)*(1-2*$H$7+2*$H$7*A12-A12^2)))</f>
        <v>0</v>
      </c>
      <c r="C12" s="10">
        <f t="shared" ref="C12:C43" si="1">IF(A12&lt;$H$7,(2*$G$7/$H$7^2)*($H$7-A12),(2*$G$7/(1-$H$7)^2)*($H$7-A12))</f>
        <v>9.9999999999999978E-2</v>
      </c>
      <c r="D12" s="11">
        <f t="shared" ref="D12:D43" si="2">($I$7/0.2)*(0.2969*A12^0.5-0.126*A12-0.3516*A12^2+0.2843*A12^3-0.1015*A12^4)</f>
        <v>0</v>
      </c>
      <c r="E12" s="12">
        <f>ATAN(C12)</f>
        <v>9.966865249116201E-2</v>
      </c>
      <c r="F12" s="32">
        <f>A12-D12*SIN(E12)</f>
        <v>0</v>
      </c>
      <c r="G12" s="33">
        <f>B12+D12*COS(E12)</f>
        <v>0</v>
      </c>
      <c r="H12" s="34">
        <f>A12+D12*SIN(E12)</f>
        <v>0</v>
      </c>
      <c r="I12" s="33">
        <f>B12-D12*COS(E12)</f>
        <v>0</v>
      </c>
    </row>
    <row r="13" spans="1:9" x14ac:dyDescent="0.25">
      <c r="A13" s="28">
        <v>0.01</v>
      </c>
      <c r="B13" s="29">
        <f t="shared" si="0"/>
        <v>9.8749999999999988E-4</v>
      </c>
      <c r="C13" s="13">
        <f t="shared" si="1"/>
        <v>9.7499999999999976E-2</v>
      </c>
      <c r="D13" s="14">
        <f t="shared" si="2"/>
        <v>1.7037073970999999E-2</v>
      </c>
      <c r="E13" s="15">
        <f t="shared" ref="E13:E76" si="3">ATAN(C13)</f>
        <v>9.7192797188580496E-2</v>
      </c>
      <c r="F13" s="35">
        <f t="shared" ref="F13:F76" si="4">A13-D13*SIN(E13)</f>
        <v>8.3467249236099817E-3</v>
      </c>
      <c r="G13" s="36">
        <f t="shared" ref="G13:G76" si="5">B13+D13*COS(E13)</f>
        <v>1.7944167450154029E-2</v>
      </c>
      <c r="H13" s="37">
        <f t="shared" ref="H13:H76" si="6">A13+D13*SIN(E13)</f>
        <v>1.1653275076390019E-2</v>
      </c>
      <c r="I13" s="36">
        <f t="shared" ref="I13:I76" si="7">B13-D13*COS(E13)</f>
        <v>-1.5969167450154031E-2</v>
      </c>
    </row>
    <row r="14" spans="1:9" x14ac:dyDescent="0.25">
      <c r="A14" s="28">
        <v>0.02</v>
      </c>
      <c r="B14" s="29">
        <f t="shared" si="0"/>
        <v>1.9499999999999997E-3</v>
      </c>
      <c r="C14" s="13">
        <f t="shared" si="1"/>
        <v>9.4999999999999973E-2</v>
      </c>
      <c r="D14" s="14">
        <f t="shared" si="2"/>
        <v>2.3597771296114317E-2</v>
      </c>
      <c r="E14" s="15">
        <f t="shared" si="3"/>
        <v>9.4715745988475764E-2</v>
      </c>
      <c r="F14" s="35">
        <f t="shared" si="4"/>
        <v>1.7768259834246843E-2</v>
      </c>
      <c r="G14" s="36">
        <f t="shared" si="5"/>
        <v>2.5442001744770088E-2</v>
      </c>
      <c r="H14" s="37">
        <f t="shared" si="6"/>
        <v>2.2231740165753158E-2</v>
      </c>
      <c r="I14" s="36">
        <f t="shared" si="7"/>
        <v>-2.1542001744770087E-2</v>
      </c>
    </row>
    <row r="15" spans="1:9" x14ac:dyDescent="0.25">
      <c r="A15" s="28">
        <v>0.03</v>
      </c>
      <c r="B15" s="29">
        <f t="shared" si="0"/>
        <v>2.8874999999999994E-3</v>
      </c>
      <c r="C15" s="13">
        <f t="shared" si="1"/>
        <v>9.2499999999999985E-2</v>
      </c>
      <c r="D15" s="14">
        <f t="shared" si="2"/>
        <v>2.8401445417031979E-2</v>
      </c>
      <c r="E15" s="15">
        <f t="shared" si="3"/>
        <v>9.2237528443126132E-2</v>
      </c>
      <c r="F15" s="35">
        <f t="shared" si="4"/>
        <v>2.7384033891633981E-2</v>
      </c>
      <c r="G15" s="36">
        <f t="shared" si="5"/>
        <v>3.1168214685038054E-2</v>
      </c>
      <c r="H15" s="37">
        <f t="shared" si="6"/>
        <v>3.2615966108366021E-2</v>
      </c>
      <c r="I15" s="36">
        <f t="shared" si="7"/>
        <v>-2.5393214685038058E-2</v>
      </c>
    </row>
    <row r="16" spans="1:9" x14ac:dyDescent="0.25">
      <c r="A16" s="28">
        <v>0.04</v>
      </c>
      <c r="B16" s="29">
        <f t="shared" si="0"/>
        <v>3.7999999999999991E-3</v>
      </c>
      <c r="C16" s="13">
        <f t="shared" si="1"/>
        <v>0.09</v>
      </c>
      <c r="D16" s="14">
        <f t="shared" si="2"/>
        <v>3.2277225216000002E-2</v>
      </c>
      <c r="E16" s="15">
        <f t="shared" si="3"/>
        <v>8.9758174189950524E-2</v>
      </c>
      <c r="F16" s="35">
        <f t="shared" si="4"/>
        <v>3.7106743785527009E-2</v>
      </c>
      <c r="G16" s="36">
        <f t="shared" si="5"/>
        <v>3.5947291271922116E-2</v>
      </c>
      <c r="H16" s="37">
        <f t="shared" si="6"/>
        <v>4.2893256214472993E-2</v>
      </c>
      <c r="I16" s="36">
        <f t="shared" si="7"/>
        <v>-2.834729127192212E-2</v>
      </c>
    </row>
    <row r="17" spans="1:9" x14ac:dyDescent="0.25">
      <c r="A17" s="28">
        <v>0.05</v>
      </c>
      <c r="B17" s="29">
        <f t="shared" si="0"/>
        <v>4.6874999999999998E-3</v>
      </c>
      <c r="C17" s="13">
        <f t="shared" si="1"/>
        <v>8.7499999999999994E-2</v>
      </c>
      <c r="D17" s="14">
        <f t="shared" si="2"/>
        <v>3.5546856826181257E-2</v>
      </c>
      <c r="E17" s="15">
        <f t="shared" si="3"/>
        <v>8.7277712949461447E-2</v>
      </c>
      <c r="F17" s="35">
        <f t="shared" si="4"/>
        <v>4.6901488898389639E-2</v>
      </c>
      <c r="G17" s="36">
        <f t="shared" si="5"/>
        <v>4.0099055446975583E-2</v>
      </c>
      <c r="H17" s="37">
        <f t="shared" si="6"/>
        <v>5.3098511101610367E-2</v>
      </c>
      <c r="I17" s="36">
        <f t="shared" si="7"/>
        <v>-3.0724055446975585E-2</v>
      </c>
    </row>
    <row r="18" spans="1:9" x14ac:dyDescent="0.25">
      <c r="A18" s="28">
        <v>0.06</v>
      </c>
      <c r="B18" s="29">
        <f t="shared" si="0"/>
        <v>5.5499999999999994E-3</v>
      </c>
      <c r="C18" s="13">
        <f t="shared" si="1"/>
        <v>8.4999999999999992E-2</v>
      </c>
      <c r="D18" s="14">
        <f t="shared" si="2"/>
        <v>3.8375810293939529E-2</v>
      </c>
      <c r="E18" s="15">
        <f t="shared" si="3"/>
        <v>8.4796174523202983E-2</v>
      </c>
      <c r="F18" s="35">
        <f t="shared" si="4"/>
        <v>5.6749776425983077E-2</v>
      </c>
      <c r="G18" s="36">
        <f t="shared" si="5"/>
        <v>4.3787924400199074E-2</v>
      </c>
      <c r="H18" s="37">
        <f t="shared" si="6"/>
        <v>6.3250223574016926E-2</v>
      </c>
      <c r="I18" s="36">
        <f t="shared" si="7"/>
        <v>-3.2687924400199075E-2</v>
      </c>
    </row>
    <row r="19" spans="1:9" x14ac:dyDescent="0.25">
      <c r="A19" s="28">
        <v>7.0000000000000007E-2</v>
      </c>
      <c r="B19" s="29">
        <f t="shared" si="0"/>
        <v>6.3874999999999991E-3</v>
      </c>
      <c r="C19" s="13">
        <f t="shared" si="1"/>
        <v>8.249999999999999E-2</v>
      </c>
      <c r="D19" s="14">
        <f t="shared" si="2"/>
        <v>4.0862756586304623E-2</v>
      </c>
      <c r="E19" s="15">
        <f t="shared" si="3"/>
        <v>8.2313588791674025E-2</v>
      </c>
      <c r="F19" s="35">
        <f t="shared" si="4"/>
        <v>6.6640236886259613E-2</v>
      </c>
      <c r="G19" s="36">
        <f t="shared" si="5"/>
        <v>4.7111901378671377E-2</v>
      </c>
      <c r="H19" s="37">
        <f t="shared" si="6"/>
        <v>7.33597631137404E-2</v>
      </c>
      <c r="I19" s="36">
        <f t="shared" si="7"/>
        <v>-3.4336901378671382E-2</v>
      </c>
    </row>
    <row r="20" spans="1:9" x14ac:dyDescent="0.25">
      <c r="A20" s="28">
        <v>0.08</v>
      </c>
      <c r="B20" s="29">
        <f t="shared" si="0"/>
        <v>7.1999999999999981E-3</v>
      </c>
      <c r="C20" s="13">
        <f t="shared" si="1"/>
        <v>7.9999999999999988E-2</v>
      </c>
      <c r="D20" s="14">
        <f t="shared" si="2"/>
        <v>4.3072299296228626E-2</v>
      </c>
      <c r="E20" s="15">
        <f t="shared" si="3"/>
        <v>7.9829985712237303E-2</v>
      </c>
      <c r="F20" s="35">
        <f t="shared" si="4"/>
        <v>7.656518991838708E-2</v>
      </c>
      <c r="G20" s="36">
        <f t="shared" si="5"/>
        <v>5.0135126020161472E-2</v>
      </c>
      <c r="H20" s="37">
        <f t="shared" si="6"/>
        <v>8.3434810081612923E-2</v>
      </c>
      <c r="I20" s="36">
        <f t="shared" si="7"/>
        <v>-3.5735126020161476E-2</v>
      </c>
    </row>
    <row r="21" spans="1:9" x14ac:dyDescent="0.25">
      <c r="A21" s="28">
        <v>0.09</v>
      </c>
      <c r="B21" s="29">
        <f t="shared" si="0"/>
        <v>7.9874999999999981E-3</v>
      </c>
      <c r="C21" s="13">
        <f t="shared" si="1"/>
        <v>7.7499999999999999E-2</v>
      </c>
      <c r="D21" s="14">
        <f t="shared" si="2"/>
        <v>4.5049581171000004E-2</v>
      </c>
      <c r="E21" s="15">
        <f t="shared" si="3"/>
        <v>7.7345395317014343E-2</v>
      </c>
      <c r="F21" s="35">
        <f t="shared" si="4"/>
        <v>8.6519095401112855E-2</v>
      </c>
      <c r="G21" s="36">
        <f t="shared" si="5"/>
        <v>5.2902398050156632E-2</v>
      </c>
      <c r="H21" s="37">
        <f t="shared" si="6"/>
        <v>9.3480904598887138E-2</v>
      </c>
      <c r="I21" s="36">
        <f t="shared" si="7"/>
        <v>-3.6927398050156643E-2</v>
      </c>
    </row>
    <row r="22" spans="1:9" x14ac:dyDescent="0.25">
      <c r="A22" s="28">
        <v>0.1</v>
      </c>
      <c r="B22" s="29">
        <f t="shared" si="0"/>
        <v>8.7499999999999991E-3</v>
      </c>
      <c r="C22" s="13">
        <f t="shared" si="1"/>
        <v>7.4999999999999997E-2</v>
      </c>
      <c r="D22" s="14">
        <f t="shared" si="2"/>
        <v>4.6827704238239509E-2</v>
      </c>
      <c r="E22" s="15">
        <f t="shared" si="3"/>
        <v>7.4859847710766855E-2</v>
      </c>
      <c r="F22" s="35">
        <f t="shared" si="4"/>
        <v>9.6497758423747512E-2</v>
      </c>
      <c r="G22" s="36">
        <f t="shared" si="5"/>
        <v>5.5446554350033185E-2</v>
      </c>
      <c r="H22" s="37">
        <f t="shared" si="6"/>
        <v>0.1035022415762525</v>
      </c>
      <c r="I22" s="36">
        <f t="shared" si="7"/>
        <v>-3.7946554350033183E-2</v>
      </c>
    </row>
    <row r="23" spans="1:9" x14ac:dyDescent="0.25">
      <c r="A23" s="28">
        <v>0.11</v>
      </c>
      <c r="B23" s="29">
        <f t="shared" si="0"/>
        <v>9.4874999999999994E-3</v>
      </c>
      <c r="C23" s="13">
        <f t="shared" si="1"/>
        <v>7.2499999999999995E-2</v>
      </c>
      <c r="D23" s="14">
        <f t="shared" si="2"/>
        <v>4.8431863626391083E-2</v>
      </c>
      <c r="E23" s="15">
        <f t="shared" si="3"/>
        <v>7.2373373068764985E-2</v>
      </c>
      <c r="F23" s="35">
        <f t="shared" si="4"/>
        <v>0.1064978818284515</v>
      </c>
      <c r="G23" s="36">
        <f t="shared" si="5"/>
        <v>5.779257822825519E-2</v>
      </c>
      <c r="H23" s="37">
        <f t="shared" si="6"/>
        <v>0.1135021181715485</v>
      </c>
      <c r="I23" s="36">
        <f t="shared" si="7"/>
        <v>-3.8817578228255184E-2</v>
      </c>
    </row>
    <row r="24" spans="1:9" x14ac:dyDescent="0.25">
      <c r="A24" s="28">
        <v>0.12</v>
      </c>
      <c r="B24" s="29">
        <f t="shared" si="0"/>
        <v>1.0199999999999999E-2</v>
      </c>
      <c r="C24" s="13">
        <f t="shared" si="1"/>
        <v>6.9999999999999993E-2</v>
      </c>
      <c r="D24" s="14">
        <f t="shared" si="2"/>
        <v>4.9881816188063956E-2</v>
      </c>
      <c r="E24" s="15">
        <f t="shared" si="3"/>
        <v>6.9886001634642494E-2</v>
      </c>
      <c r="F24" s="35">
        <f t="shared" si="4"/>
        <v>0.11651679628750004</v>
      </c>
      <c r="G24" s="36">
        <f t="shared" si="5"/>
        <v>5.9960053035713556E-2</v>
      </c>
      <c r="H24" s="37">
        <f t="shared" si="6"/>
        <v>0.12348320371249995</v>
      </c>
      <c r="I24" s="36">
        <f t="shared" si="7"/>
        <v>-3.9560053035713555E-2</v>
      </c>
    </row>
    <row r="25" spans="1:9" x14ac:dyDescent="0.25">
      <c r="A25" s="28">
        <v>0.13</v>
      </c>
      <c r="B25" s="29">
        <f t="shared" si="0"/>
        <v>1.08875E-2</v>
      </c>
      <c r="C25" s="13">
        <f t="shared" si="1"/>
        <v>6.7499999999999991E-2</v>
      </c>
      <c r="D25" s="14">
        <f t="shared" si="2"/>
        <v>5.1193437032115506E-2</v>
      </c>
      <c r="E25" s="15">
        <f t="shared" si="3"/>
        <v>6.7397763718239564E-2</v>
      </c>
      <c r="F25" s="35">
        <f t="shared" si="4"/>
        <v>0.12655228839210336</v>
      </c>
      <c r="G25" s="36">
        <f t="shared" si="5"/>
        <v>6.1964709005876098E-2</v>
      </c>
      <c r="H25" s="37">
        <f t="shared" si="6"/>
        <v>0.13344771160789665</v>
      </c>
      <c r="I25" s="36">
        <f t="shared" si="7"/>
        <v>-4.0189709005876095E-2</v>
      </c>
    </row>
    <row r="26" spans="1:9" x14ac:dyDescent="0.25">
      <c r="A26" s="28">
        <v>0.14000000000000001</v>
      </c>
      <c r="B26" s="29">
        <f t="shared" si="0"/>
        <v>1.155E-2</v>
      </c>
      <c r="C26" s="13">
        <f t="shared" si="1"/>
        <v>6.4999999999999988E-2</v>
      </c>
      <c r="D26" s="14">
        <f t="shared" si="2"/>
        <v>5.2379744863990996E-2</v>
      </c>
      <c r="E26" s="15">
        <f t="shared" si="3"/>
        <v>6.4908689693433455E-2</v>
      </c>
      <c r="F26" s="35">
        <f t="shared" si="4"/>
        <v>0.13660248626660706</v>
      </c>
      <c r="G26" s="36">
        <f t="shared" si="5"/>
        <v>6.3819442052199082E-2</v>
      </c>
      <c r="H26" s="37">
        <f t="shared" si="6"/>
        <v>0.14339751373339296</v>
      </c>
      <c r="I26" s="36">
        <f t="shared" si="7"/>
        <v>-4.071944205219908E-2</v>
      </c>
    </row>
    <row r="27" spans="1:9" x14ac:dyDescent="0.25">
      <c r="A27" s="28">
        <v>0.15</v>
      </c>
      <c r="B27" s="29">
        <f t="shared" si="0"/>
        <v>1.2187499999999997E-2</v>
      </c>
      <c r="C27" s="13">
        <f t="shared" si="1"/>
        <v>6.2499999999999986E-2</v>
      </c>
      <c r="D27" s="14">
        <f t="shared" si="2"/>
        <v>5.3451602204338915E-2</v>
      </c>
      <c r="E27" s="15">
        <f t="shared" si="3"/>
        <v>6.2418809995957336E-2</v>
      </c>
      <c r="F27" s="35">
        <f t="shared" si="4"/>
        <v>0.14666578066224487</v>
      </c>
      <c r="G27" s="36">
        <f t="shared" si="5"/>
        <v>6.5535009404082106E-2</v>
      </c>
      <c r="H27" s="37">
        <f t="shared" si="6"/>
        <v>0.15333421933775512</v>
      </c>
      <c r="I27" s="36">
        <f t="shared" si="7"/>
        <v>-4.1160009404082105E-2</v>
      </c>
    </row>
    <row r="28" spans="1:9" x14ac:dyDescent="0.25">
      <c r="A28" s="28">
        <v>0.16</v>
      </c>
      <c r="B28" s="29">
        <f t="shared" si="0"/>
        <v>1.2799999999999997E-2</v>
      </c>
      <c r="C28" s="13">
        <f t="shared" si="1"/>
        <v>5.9999999999999991E-2</v>
      </c>
      <c r="D28" s="14">
        <f t="shared" si="2"/>
        <v>5.4418208256000002E-2</v>
      </c>
      <c r="E28" s="15">
        <f t="shared" si="3"/>
        <v>5.9928155121207874E-2</v>
      </c>
      <c r="F28" s="35">
        <f t="shared" si="4"/>
        <v>0.15674076885023769</v>
      </c>
      <c r="G28" s="36">
        <f t="shared" si="5"/>
        <v>6.7120519162705033E-2</v>
      </c>
      <c r="H28" s="37">
        <f t="shared" si="6"/>
        <v>0.16325923114976232</v>
      </c>
      <c r="I28" s="36">
        <f t="shared" si="7"/>
        <v>-4.1520519162705043E-2</v>
      </c>
    </row>
    <row r="29" spans="1:9" x14ac:dyDescent="0.25">
      <c r="A29" s="28">
        <v>0.17</v>
      </c>
      <c r="B29" s="29">
        <f t="shared" si="0"/>
        <v>1.3387499999999997E-2</v>
      </c>
      <c r="C29" s="13">
        <f t="shared" si="1"/>
        <v>5.7499999999999989E-2</v>
      </c>
      <c r="D29" s="14">
        <f t="shared" si="2"/>
        <v>5.5287454865752997E-2</v>
      </c>
      <c r="E29" s="15">
        <f t="shared" si="3"/>
        <v>5.7436755622041688E-2</v>
      </c>
      <c r="F29" s="35">
        <f t="shared" si="4"/>
        <v>0.16682621368118486</v>
      </c>
      <c r="G29" s="36">
        <f t="shared" si="5"/>
        <v>6.8583783805480747E-2</v>
      </c>
      <c r="H29" s="37">
        <f t="shared" si="6"/>
        <v>0.17317378631881516</v>
      </c>
      <c r="I29" s="36">
        <f t="shared" si="7"/>
        <v>-4.1808783805480754E-2</v>
      </c>
    </row>
    <row r="30" spans="1:9" x14ac:dyDescent="0.25">
      <c r="A30" s="28">
        <v>0.18</v>
      </c>
      <c r="B30" s="29">
        <f t="shared" si="0"/>
        <v>1.3949999999999995E-2</v>
      </c>
      <c r="C30" s="13">
        <f t="shared" si="1"/>
        <v>5.4999999999999993E-2</v>
      </c>
      <c r="D30" s="14">
        <f t="shared" si="2"/>
        <v>5.6066189376342931E-2</v>
      </c>
      <c r="E30" s="15">
        <f t="shared" si="3"/>
        <v>5.4944642106561359E-2</v>
      </c>
      <c r="F30" s="35">
        <f t="shared" si="4"/>
        <v>0.17692101303556967</v>
      </c>
      <c r="G30" s="36">
        <f t="shared" si="5"/>
        <v>6.9931581171460463E-2</v>
      </c>
      <c r="H30" s="37">
        <f t="shared" si="6"/>
        <v>0.18307898696443031</v>
      </c>
      <c r="I30" s="36">
        <f t="shared" si="7"/>
        <v>-4.2031581171460476E-2</v>
      </c>
    </row>
    <row r="31" spans="1:9" x14ac:dyDescent="0.25">
      <c r="A31" s="28">
        <v>0.19</v>
      </c>
      <c r="B31" s="29">
        <f t="shared" si="0"/>
        <v>1.44875E-2</v>
      </c>
      <c r="C31" s="13">
        <f t="shared" si="1"/>
        <v>5.2499999999999991E-2</v>
      </c>
      <c r="D31" s="14">
        <f t="shared" si="2"/>
        <v>5.6760412511233552E-2</v>
      </c>
      <c r="E31" s="15">
        <f t="shared" si="3"/>
        <v>5.2451845235891095E-2</v>
      </c>
      <c r="F31" s="35">
        <f t="shared" si="4"/>
        <v>0.18702417657781731</v>
      </c>
      <c r="G31" s="36">
        <f t="shared" si="5"/>
        <v>7.1169850898717912E-2</v>
      </c>
      <c r="H31" s="37">
        <f t="shared" si="6"/>
        <v>0.1929758234221827</v>
      </c>
      <c r="I31" s="36">
        <f t="shared" si="7"/>
        <v>-4.2194850898717912E-2</v>
      </c>
    </row>
    <row r="32" spans="1:9" x14ac:dyDescent="0.25">
      <c r="A32" s="28">
        <v>0.2</v>
      </c>
      <c r="B32" s="29">
        <f t="shared" si="0"/>
        <v>1.4999999999999999E-2</v>
      </c>
      <c r="C32" s="13">
        <f t="shared" si="1"/>
        <v>4.9999999999999989E-2</v>
      </c>
      <c r="D32" s="14">
        <f t="shared" si="2"/>
        <v>5.7375429902362496E-2</v>
      </c>
      <c r="E32" s="15">
        <f t="shared" si="3"/>
        <v>4.9958395721942751E-2</v>
      </c>
      <c r="F32" s="35">
        <f t="shared" si="4"/>
        <v>0.1971348077595447</v>
      </c>
      <c r="G32" s="36">
        <f t="shared" si="5"/>
        <v>7.2303844809106371E-2</v>
      </c>
      <c r="H32" s="37">
        <f t="shared" si="6"/>
        <v>0.20286519224045532</v>
      </c>
      <c r="I32" s="36">
        <f t="shared" si="7"/>
        <v>-4.2303844809106372E-2</v>
      </c>
    </row>
    <row r="33" spans="1:9" x14ac:dyDescent="0.25">
      <c r="A33" s="28">
        <v>0.21</v>
      </c>
      <c r="B33" s="29">
        <f t="shared" si="0"/>
        <v>1.5487499999999998E-2</v>
      </c>
      <c r="C33" s="13">
        <f t="shared" si="1"/>
        <v>4.7499999999999994E-2</v>
      </c>
      <c r="D33" s="14">
        <f t="shared" si="2"/>
        <v>5.7915969880943323E-2</v>
      </c>
      <c r="E33" s="15">
        <f t="shared" si="3"/>
        <v>4.7464324325172343E-2</v>
      </c>
      <c r="F33" s="35">
        <f t="shared" si="4"/>
        <v>0.20725208967037959</v>
      </c>
      <c r="G33" s="36">
        <f t="shared" si="5"/>
        <v>7.3338243781482182E-2</v>
      </c>
      <c r="H33" s="37">
        <f t="shared" si="6"/>
        <v>0.2127479103296204</v>
      </c>
      <c r="I33" s="36">
        <f t="shared" si="7"/>
        <v>-4.2363243781482193E-2</v>
      </c>
    </row>
    <row r="34" spans="1:9" x14ac:dyDescent="0.25">
      <c r="A34" s="28">
        <v>0.22</v>
      </c>
      <c r="B34" s="29">
        <f t="shared" si="0"/>
        <v>1.5949999999999999E-2</v>
      </c>
      <c r="C34" s="13">
        <f t="shared" si="1"/>
        <v>4.4999999999999998E-2</v>
      </c>
      <c r="D34" s="14">
        <f t="shared" si="2"/>
        <v>5.8386276281494578E-2</v>
      </c>
      <c r="E34" s="15">
        <f t="shared" si="3"/>
        <v>4.4969661852327585E-2</v>
      </c>
      <c r="F34" s="35">
        <f t="shared" si="4"/>
        <v>0.21737527375863536</v>
      </c>
      <c r="G34" s="36">
        <f t="shared" si="5"/>
        <v>7.427724980810349E-2</v>
      </c>
      <c r="H34" s="37">
        <f t="shared" si="6"/>
        <v>0.22262472624136465</v>
      </c>
      <c r="I34" s="36">
        <f t="shared" si="7"/>
        <v>-4.2377249808103493E-2</v>
      </c>
    </row>
    <row r="35" spans="1:9" x14ac:dyDescent="0.25">
      <c r="A35" s="28">
        <v>0.23</v>
      </c>
      <c r="B35" s="29">
        <f t="shared" si="0"/>
        <v>1.6387499999999999E-2</v>
      </c>
      <c r="C35" s="13">
        <f t="shared" si="1"/>
        <v>4.2499999999999996E-2</v>
      </c>
      <c r="D35" s="14">
        <f t="shared" si="2"/>
        <v>5.8790182447292789E-2</v>
      </c>
      <c r="E35" s="15">
        <f t="shared" si="3"/>
        <v>4.247443915418686E-2</v>
      </c>
      <c r="F35" s="35">
        <f t="shared" si="4"/>
        <v>0.22750367072623734</v>
      </c>
      <c r="G35" s="36">
        <f t="shared" si="5"/>
        <v>7.5124659382650852E-2</v>
      </c>
      <c r="H35" s="37">
        <f t="shared" si="6"/>
        <v>0.23249632927376268</v>
      </c>
      <c r="I35" s="36">
        <f t="shared" si="7"/>
        <v>-4.2349659382650853E-2</v>
      </c>
    </row>
    <row r="36" spans="1:9" x14ac:dyDescent="0.25">
      <c r="A36" s="28">
        <v>0.24</v>
      </c>
      <c r="B36" s="29">
        <f t="shared" si="0"/>
        <v>1.6799999999999999E-2</v>
      </c>
      <c r="C36" s="13">
        <f t="shared" si="1"/>
        <v>0.04</v>
      </c>
      <c r="D36" s="14">
        <f t="shared" si="2"/>
        <v>5.9131170891879067E-2</v>
      </c>
      <c r="E36" s="15">
        <f t="shared" si="3"/>
        <v>3.9978687123290044E-2</v>
      </c>
      <c r="F36" s="35">
        <f t="shared" si="4"/>
        <v>0.2376366430941797</v>
      </c>
      <c r="G36" s="36">
        <f t="shared" si="5"/>
        <v>7.5883922645507529E-2</v>
      </c>
      <c r="H36" s="37">
        <f t="shared" si="6"/>
        <v>0.24236335690582028</v>
      </c>
      <c r="I36" s="36">
        <f t="shared" si="7"/>
        <v>-4.2283922645507524E-2</v>
      </c>
    </row>
    <row r="37" spans="1:9" x14ac:dyDescent="0.25">
      <c r="A37" s="28">
        <v>0.25</v>
      </c>
      <c r="B37" s="29">
        <f t="shared" si="0"/>
        <v>1.7187499999999998E-2</v>
      </c>
      <c r="C37" s="13">
        <f t="shared" si="1"/>
        <v>3.7499999999999999E-2</v>
      </c>
      <c r="D37" s="14">
        <f t="shared" si="2"/>
        <v>5.9412421874999996E-2</v>
      </c>
      <c r="E37" s="15">
        <f t="shared" si="3"/>
        <v>3.7482436691661486E-2</v>
      </c>
      <c r="F37" s="35">
        <f t="shared" si="4"/>
        <v>0.24777359906788016</v>
      </c>
      <c r="G37" s="36">
        <f t="shared" si="5"/>
        <v>7.6558191523195457E-2</v>
      </c>
      <c r="H37" s="37">
        <f t="shared" si="6"/>
        <v>0.25222640093211984</v>
      </c>
      <c r="I37" s="36">
        <f t="shared" si="7"/>
        <v>-4.2183191523195468E-2</v>
      </c>
    </row>
    <row r="38" spans="1:9" x14ac:dyDescent="0.25">
      <c r="A38" s="28">
        <v>0.26</v>
      </c>
      <c r="B38" s="29">
        <f t="shared" si="0"/>
        <v>1.755E-2</v>
      </c>
      <c r="C38" s="13">
        <f t="shared" si="1"/>
        <v>3.4999999999999996E-2</v>
      </c>
      <c r="D38" s="14">
        <f t="shared" si="2"/>
        <v>5.9636853311141859E-2</v>
      </c>
      <c r="E38" s="15">
        <f t="shared" si="3"/>
        <v>3.4985718828525747E-2</v>
      </c>
      <c r="F38" s="35">
        <f t="shared" si="4"/>
        <v>0.25791398742576094</v>
      </c>
      <c r="G38" s="36">
        <f t="shared" si="5"/>
        <v>7.7150359263973969E-2</v>
      </c>
      <c r="H38" s="37">
        <f t="shared" si="6"/>
        <v>0.26208601257423908</v>
      </c>
      <c r="I38" s="36">
        <f t="shared" si="7"/>
        <v>-4.2050359263973977E-2</v>
      </c>
    </row>
    <row r="39" spans="1:9" x14ac:dyDescent="0.25">
      <c r="A39" s="28">
        <v>0.27</v>
      </c>
      <c r="B39" s="29">
        <f t="shared" si="0"/>
        <v>1.7887499999999997E-2</v>
      </c>
      <c r="C39" s="13">
        <f t="shared" si="1"/>
        <v>3.2499999999999994E-2</v>
      </c>
      <c r="D39" s="14">
        <f t="shared" si="2"/>
        <v>5.9807153829095946E-2</v>
      </c>
      <c r="E39" s="15">
        <f t="shared" si="3"/>
        <v>3.2488564538016323E-2</v>
      </c>
      <c r="F39" s="35">
        <f t="shared" si="4"/>
        <v>0.26805729322178862</v>
      </c>
      <c r="G39" s="36">
        <f t="shared" si="5"/>
        <v>7.7663093175735512E-2</v>
      </c>
      <c r="H39" s="37">
        <f t="shared" si="6"/>
        <v>0.27194270677821142</v>
      </c>
      <c r="I39" s="36">
        <f t="shared" si="7"/>
        <v>-4.1888093175735511E-2</v>
      </c>
    </row>
    <row r="40" spans="1:9" x14ac:dyDescent="0.25">
      <c r="A40" s="28">
        <v>0.28000000000000003</v>
      </c>
      <c r="B40" s="29">
        <f t="shared" si="0"/>
        <v>1.8199999999999997E-2</v>
      </c>
      <c r="C40" s="13">
        <f t="shared" si="1"/>
        <v>2.9999999999999992E-2</v>
      </c>
      <c r="D40" s="14">
        <f t="shared" si="2"/>
        <v>5.9925810366609232E-2</v>
      </c>
      <c r="E40" s="15">
        <f t="shared" si="3"/>
        <v>2.9991004856877893E-2</v>
      </c>
      <c r="F40" s="35">
        <f t="shared" si="4"/>
        <v>0.27820303414177699</v>
      </c>
      <c r="G40" s="36">
        <f t="shared" si="5"/>
        <v>7.8098861940768052E-2</v>
      </c>
      <c r="H40" s="37">
        <f t="shared" si="6"/>
        <v>0.28179696585822306</v>
      </c>
      <c r="I40" s="36">
        <f t="shared" si="7"/>
        <v>-4.1698861940768051E-2</v>
      </c>
    </row>
    <row r="41" spans="1:9" x14ac:dyDescent="0.25">
      <c r="A41" s="28">
        <v>0.28999999999999998</v>
      </c>
      <c r="B41" s="29">
        <f t="shared" si="0"/>
        <v>1.8487499999999994E-2</v>
      </c>
      <c r="C41" s="13">
        <f t="shared" si="1"/>
        <v>2.7500000000000004E-2</v>
      </c>
      <c r="D41" s="14">
        <f t="shared" si="2"/>
        <v>5.9995131365294052E-2</v>
      </c>
      <c r="E41" s="15">
        <f t="shared" si="3"/>
        <v>2.7493070852162533E-2</v>
      </c>
      <c r="F41" s="35">
        <f t="shared" si="4"/>
        <v>0.28835075738945792</v>
      </c>
      <c r="G41" s="36">
        <f t="shared" si="5"/>
        <v>7.8459958565165244E-2</v>
      </c>
      <c r="H41" s="37">
        <f t="shared" si="6"/>
        <v>0.29164924261054204</v>
      </c>
      <c r="I41" s="36">
        <f t="shared" si="7"/>
        <v>-4.148495856516525E-2</v>
      </c>
    </row>
    <row r="42" spans="1:9" x14ac:dyDescent="0.25">
      <c r="A42" s="28">
        <v>0.3</v>
      </c>
      <c r="B42" s="29">
        <f t="shared" si="0"/>
        <v>1.8749999999999996E-2</v>
      </c>
      <c r="C42" s="13">
        <f t="shared" si="1"/>
        <v>2.5000000000000001E-2</v>
      </c>
      <c r="D42" s="14">
        <f t="shared" si="2"/>
        <v>6.0017266393970287E-2</v>
      </c>
      <c r="E42" s="15">
        <f t="shared" si="3"/>
        <v>2.4994793618920159E-2</v>
      </c>
      <c r="F42" s="35">
        <f t="shared" si="4"/>
        <v>0.29850003700536903</v>
      </c>
      <c r="G42" s="36">
        <f t="shared" si="5"/>
        <v>7.8748519785237475E-2</v>
      </c>
      <c r="H42" s="37">
        <f t="shared" si="6"/>
        <v>0.30149996299463094</v>
      </c>
      <c r="I42" s="36">
        <f t="shared" si="7"/>
        <v>-4.1248519785237484E-2</v>
      </c>
    </row>
    <row r="43" spans="1:9" x14ac:dyDescent="0.25">
      <c r="A43" s="28">
        <v>0.31</v>
      </c>
      <c r="B43" s="29">
        <f t="shared" si="0"/>
        <v>1.8987499999999994E-2</v>
      </c>
      <c r="C43" s="13">
        <f t="shared" si="1"/>
        <v>2.2500000000000003E-2</v>
      </c>
      <c r="D43" s="14">
        <f t="shared" si="2"/>
        <v>5.999422285045402E-2</v>
      </c>
      <c r="E43" s="15">
        <f t="shared" si="3"/>
        <v>2.2496204277883906E-2</v>
      </c>
      <c r="F43" s="35">
        <f t="shared" si="4"/>
        <v>0.30865047154203296</v>
      </c>
      <c r="G43" s="36">
        <f t="shared" si="5"/>
        <v>7.8966542576312235E-2</v>
      </c>
      <c r="H43" s="37">
        <f t="shared" si="6"/>
        <v>0.31134952845796704</v>
      </c>
      <c r="I43" s="36">
        <f t="shared" si="7"/>
        <v>-4.0991542576312254E-2</v>
      </c>
    </row>
    <row r="44" spans="1:9" x14ac:dyDescent="0.25">
      <c r="A44" s="28">
        <v>0.32</v>
      </c>
      <c r="B44" s="29">
        <f t="shared" ref="B44:B75" si="8">IF(A44&lt;$H$7,(($G$7/$H$7^2)*(2*$H$7*A44-A44^2)),(($G$7/(1-$H$7)^2)*(1-2*$H$7+2*$H$7*A44-A44^2)))</f>
        <v>1.9199999999999998E-2</v>
      </c>
      <c r="C44" s="13">
        <f t="shared" ref="C44:C75" si="9">IF(A44&lt;$H$7,(2*$G$7/$H$7^2)*($H$7-A44),(2*$G$7/(1-$H$7)^2)*($H$7-A44))</f>
        <v>0.02</v>
      </c>
      <c r="D44" s="14">
        <f t="shared" ref="D44:D75" si="10">($I$7/0.2)*(0.2969*A44^0.5-0.126*A44-0.3516*A44^2+0.2843*A44^3-0.1015*A44^4)</f>
        <v>5.9927880256457254E-2</v>
      </c>
      <c r="E44" s="15">
        <f t="shared" si="3"/>
        <v>1.9997333973150535E-2</v>
      </c>
      <c r="F44" s="35">
        <f t="shared" si="4"/>
        <v>0.31880168203450238</v>
      </c>
      <c r="G44" s="36">
        <f t="shared" si="5"/>
        <v>7.9115898274880636E-2</v>
      </c>
      <c r="H44" s="37">
        <f t="shared" si="6"/>
        <v>0.32119831796549764</v>
      </c>
      <c r="I44" s="36">
        <f t="shared" si="7"/>
        <v>-4.0715898274880646E-2</v>
      </c>
    </row>
    <row r="45" spans="1:9" x14ac:dyDescent="0.25">
      <c r="A45" s="28">
        <v>0.33</v>
      </c>
      <c r="B45" s="29">
        <f t="shared" si="8"/>
        <v>1.9387499999999998E-2</v>
      </c>
      <c r="C45" s="13">
        <f t="shared" si="9"/>
        <v>1.7499999999999998E-2</v>
      </c>
      <c r="D45" s="14">
        <f t="shared" si="10"/>
        <v>5.9820002556428442E-2</v>
      </c>
      <c r="E45" s="15">
        <f t="shared" si="3"/>
        <v>1.7498213869856595E-2</v>
      </c>
      <c r="F45" s="35">
        <f t="shared" si="4"/>
        <v>0.32895331021736635</v>
      </c>
      <c r="G45" s="36">
        <f t="shared" si="5"/>
        <v>7.9198344721923428E-2</v>
      </c>
      <c r="H45" s="37">
        <f t="shared" si="6"/>
        <v>0.33104668978263369</v>
      </c>
      <c r="I45" s="36">
        <f t="shared" si="7"/>
        <v>-4.0423344721923438E-2</v>
      </c>
    </row>
    <row r="46" spans="1:9" x14ac:dyDescent="0.25">
      <c r="A46" s="28">
        <v>0.34</v>
      </c>
      <c r="B46" s="29">
        <f t="shared" si="8"/>
        <v>1.9549999999999994E-2</v>
      </c>
      <c r="C46" s="13">
        <f t="shared" si="9"/>
        <v>1.4999999999999996E-2</v>
      </c>
      <c r="D46" s="14">
        <f t="shared" si="10"/>
        <v>5.9672248750774197E-2</v>
      </c>
      <c r="E46" s="15">
        <f t="shared" si="3"/>
        <v>1.4998875151850591E-2</v>
      </c>
      <c r="F46" s="35">
        <f t="shared" si="4"/>
        <v>0.33910501694866874</v>
      </c>
      <c r="G46" s="36">
        <f t="shared" si="5"/>
        <v>7.9215536755417718E-2</v>
      </c>
      <c r="H46" s="37">
        <f t="shared" si="6"/>
        <v>0.34089498305133131</v>
      </c>
      <c r="I46" s="36">
        <f t="shared" si="7"/>
        <v>-4.0115536755417722E-2</v>
      </c>
    </row>
    <row r="47" spans="1:9" x14ac:dyDescent="0.25">
      <c r="A47" s="28">
        <v>0.35</v>
      </c>
      <c r="B47" s="29">
        <f t="shared" si="8"/>
        <v>1.9687499999999993E-2</v>
      </c>
      <c r="C47" s="13">
        <f t="shared" si="9"/>
        <v>1.2500000000000008E-2</v>
      </c>
      <c r="D47" s="14">
        <f t="shared" si="10"/>
        <v>5.9486182131136545E-2</v>
      </c>
      <c r="E47" s="15">
        <f t="shared" si="3"/>
        <v>1.2499349019361686E-2</v>
      </c>
      <c r="F47" s="35">
        <f t="shared" si="4"/>
        <v>0.34925648080852872</v>
      </c>
      <c r="G47" s="36">
        <f t="shared" si="5"/>
        <v>7.9169035317698894E-2</v>
      </c>
      <c r="H47" s="37">
        <f t="shared" si="6"/>
        <v>0.35074351919147123</v>
      </c>
      <c r="I47" s="36">
        <f t="shared" si="7"/>
        <v>-3.9794035317698914E-2</v>
      </c>
    </row>
    <row r="48" spans="1:9" x14ac:dyDescent="0.25">
      <c r="A48" s="28">
        <v>0.36</v>
      </c>
      <c r="B48" s="29">
        <f t="shared" si="8"/>
        <v>1.9799999999999995E-2</v>
      </c>
      <c r="C48" s="13">
        <f t="shared" si="9"/>
        <v>1.0000000000000007E-2</v>
      </c>
      <c r="D48" s="14">
        <f t="shared" si="10"/>
        <v>5.9263278336000008E-2</v>
      </c>
      <c r="E48" s="15">
        <f t="shared" si="3"/>
        <v>9.9996666866652446E-3</v>
      </c>
      <c r="F48" s="35">
        <f t="shared" si="4"/>
        <v>0.35940739684605699</v>
      </c>
      <c r="G48" s="36">
        <f t="shared" si="5"/>
        <v>7.9060315394301986E-2</v>
      </c>
      <c r="H48" s="37">
        <f t="shared" si="6"/>
        <v>0.36059260315394298</v>
      </c>
      <c r="I48" s="36">
        <f t="shared" si="7"/>
        <v>-3.946031539430199E-2</v>
      </c>
    </row>
    <row r="49" spans="1:9" x14ac:dyDescent="0.25">
      <c r="A49" s="28">
        <v>0.37</v>
      </c>
      <c r="B49" s="29">
        <f t="shared" si="8"/>
        <v>1.9887499999999995E-2</v>
      </c>
      <c r="C49" s="13">
        <f t="shared" si="9"/>
        <v>7.5000000000000049E-3</v>
      </c>
      <c r="D49" s="14">
        <f t="shared" si="10"/>
        <v>5.9004932405732471E-2</v>
      </c>
      <c r="E49" s="15">
        <f t="shared" si="3"/>
        <v>7.4998593797459077E-3</v>
      </c>
      <c r="F49" s="35">
        <f t="shared" si="4"/>
        <v>0.36955747545278489</v>
      </c>
      <c r="G49" s="36">
        <f t="shared" si="5"/>
        <v>7.8890772962016006E-2</v>
      </c>
      <c r="H49" s="37">
        <f t="shared" si="6"/>
        <v>0.3704425245472151</v>
      </c>
      <c r="I49" s="36">
        <f t="shared" si="7"/>
        <v>-3.9115772962016016E-2</v>
      </c>
    </row>
    <row r="50" spans="1:9" x14ac:dyDescent="0.25">
      <c r="A50" s="28">
        <v>0.38</v>
      </c>
      <c r="B50" s="29">
        <f t="shared" si="8"/>
        <v>1.9950000000000002E-2</v>
      </c>
      <c r="C50" s="13">
        <f t="shared" si="9"/>
        <v>5.0000000000000036E-3</v>
      </c>
      <c r="D50" s="14">
        <f t="shared" si="10"/>
        <v>5.8712464984889329E-2</v>
      </c>
      <c r="E50" s="15">
        <f t="shared" si="3"/>
        <v>4.9999583339583259E-3</v>
      </c>
      <c r="F50" s="35">
        <f t="shared" si="4"/>
        <v>0.37970644134453579</v>
      </c>
      <c r="G50" s="36">
        <f t="shared" si="5"/>
        <v>7.8661731092837472E-2</v>
      </c>
      <c r="H50" s="37">
        <f t="shared" si="6"/>
        <v>0.38029355865546421</v>
      </c>
      <c r="I50" s="36">
        <f t="shared" si="7"/>
        <v>-3.8761731092837461E-2</v>
      </c>
    </row>
    <row r="51" spans="1:9" x14ac:dyDescent="0.25">
      <c r="A51" s="28">
        <v>0.39</v>
      </c>
      <c r="B51" s="29">
        <f t="shared" si="8"/>
        <v>1.9987500000000002E-2</v>
      </c>
      <c r="C51" s="13">
        <f t="shared" si="9"/>
        <v>2.5000000000000018E-3</v>
      </c>
      <c r="D51" s="14">
        <f t="shared" si="10"/>
        <v>5.8387127794469057E-2</v>
      </c>
      <c r="E51" s="15">
        <f t="shared" si="3"/>
        <v>2.4999947916861994E-3</v>
      </c>
      <c r="F51" s="35">
        <f t="shared" si="4"/>
        <v>0.38985403263666113</v>
      </c>
      <c r="G51" s="36">
        <f t="shared" si="5"/>
        <v>7.8374445335549978E-2</v>
      </c>
      <c r="H51" s="37">
        <f t="shared" si="6"/>
        <v>0.3901459673633389</v>
      </c>
      <c r="I51" s="36">
        <f t="shared" si="7"/>
        <v>-3.8399445335549981E-2</v>
      </c>
    </row>
    <row r="52" spans="1:9" x14ac:dyDescent="0.25">
      <c r="A52" s="28">
        <v>0.4</v>
      </c>
      <c r="B52" s="29">
        <f t="shared" si="8"/>
        <v>0.02</v>
      </c>
      <c r="C52" s="13">
        <f t="shared" si="9"/>
        <v>0</v>
      </c>
      <c r="D52" s="14">
        <f t="shared" si="10"/>
        <v>5.803010847647902E-2</v>
      </c>
      <c r="E52" s="15">
        <f t="shared" si="3"/>
        <v>0</v>
      </c>
      <c r="F52" s="35">
        <f t="shared" si="4"/>
        <v>0.4</v>
      </c>
      <c r="G52" s="36">
        <f t="shared" si="5"/>
        <v>7.8030108476479024E-2</v>
      </c>
      <c r="H52" s="37">
        <f t="shared" si="6"/>
        <v>0.4</v>
      </c>
      <c r="I52" s="36">
        <f t="shared" si="7"/>
        <v>-3.8030108476479016E-2</v>
      </c>
    </row>
    <row r="53" spans="1:9" x14ac:dyDescent="0.25">
      <c r="A53" s="28">
        <v>0.41</v>
      </c>
      <c r="B53" s="29">
        <f t="shared" si="8"/>
        <v>1.999444444444445E-2</v>
      </c>
      <c r="C53" s="13">
        <f t="shared" si="9"/>
        <v>-1.1111111111111059E-3</v>
      </c>
      <c r="D53" s="14">
        <f t="shared" si="10"/>
        <v>5.7642534896628767E-2</v>
      </c>
      <c r="E53" s="15">
        <f t="shared" si="3"/>
        <v>-1.1111106538640738E-3</v>
      </c>
      <c r="F53" s="35">
        <f t="shared" si="4"/>
        <v>0.41006404722146089</v>
      </c>
      <c r="G53" s="36">
        <f t="shared" si="5"/>
        <v>7.7636943759294502E-2</v>
      </c>
      <c r="H53" s="37">
        <f t="shared" si="6"/>
        <v>0.40993595277853906</v>
      </c>
      <c r="I53" s="36">
        <f t="shared" si="7"/>
        <v>-3.7648054870405595E-2</v>
      </c>
    </row>
    <row r="54" spans="1:9" x14ac:dyDescent="0.25">
      <c r="A54" s="28">
        <v>0.42</v>
      </c>
      <c r="B54" s="29">
        <f t="shared" si="8"/>
        <v>1.9977777777777782E-2</v>
      </c>
      <c r="C54" s="13">
        <f t="shared" si="9"/>
        <v>-2.2222222222222183E-3</v>
      </c>
      <c r="D54" s="14">
        <f t="shared" si="10"/>
        <v>5.7225478977437613E-2</v>
      </c>
      <c r="E54" s="15">
        <f t="shared" si="3"/>
        <v>-2.2222185642540903E-3</v>
      </c>
      <c r="F54" s="35">
        <f t="shared" si="4"/>
        <v>0.42012716741706774</v>
      </c>
      <c r="G54" s="36">
        <f t="shared" si="5"/>
        <v>7.7203115458259752E-2</v>
      </c>
      <c r="H54" s="37">
        <f t="shared" si="6"/>
        <v>0.41987283258293223</v>
      </c>
      <c r="I54" s="36">
        <f t="shared" si="7"/>
        <v>-3.7247559902704196E-2</v>
      </c>
    </row>
    <row r="55" spans="1:9" x14ac:dyDescent="0.25">
      <c r="A55" s="28">
        <v>0.43</v>
      </c>
      <c r="B55" s="29">
        <f t="shared" si="8"/>
        <v>1.9950000000000006E-2</v>
      </c>
      <c r="C55" s="13">
        <f t="shared" si="9"/>
        <v>-3.3333333333333305E-3</v>
      </c>
      <c r="D55" s="14">
        <f t="shared" si="10"/>
        <v>5.6779960122915821E-2</v>
      </c>
      <c r="E55" s="15">
        <f t="shared" si="3"/>
        <v>-3.333320987736622E-3</v>
      </c>
      <c r="F55" s="35">
        <f t="shared" si="4"/>
        <v>0.43018926548227104</v>
      </c>
      <c r="G55" s="36">
        <f t="shared" si="5"/>
        <v>7.6729644681321596E-2</v>
      </c>
      <c r="H55" s="37">
        <f t="shared" si="6"/>
        <v>0.42981073451772894</v>
      </c>
      <c r="I55" s="36">
        <f t="shared" si="7"/>
        <v>-3.6829644681321591E-2</v>
      </c>
    </row>
    <row r="56" spans="1:9" x14ac:dyDescent="0.25">
      <c r="A56" s="28">
        <v>0.44</v>
      </c>
      <c r="B56" s="29">
        <f t="shared" si="8"/>
        <v>1.9911111111111116E-2</v>
      </c>
      <c r="C56" s="13">
        <f t="shared" si="9"/>
        <v>-4.4444444444444427E-3</v>
      </c>
      <c r="D56" s="14">
        <f t="shared" si="10"/>
        <v>5.630694828678217E-2</v>
      </c>
      <c r="E56" s="15">
        <f t="shared" si="3"/>
        <v>-4.4444151809595357E-3</v>
      </c>
      <c r="F56" s="35">
        <f t="shared" si="4"/>
        <v>0.44025025063189782</v>
      </c>
      <c r="G56" s="36">
        <f t="shared" si="5"/>
        <v>7.6217503288124169E-2</v>
      </c>
      <c r="H56" s="37">
        <f t="shared" si="6"/>
        <v>0.43974974936810218</v>
      </c>
      <c r="I56" s="36">
        <f t="shared" si="7"/>
        <v>-3.6395281065901938E-2</v>
      </c>
    </row>
    <row r="57" spans="1:9" x14ac:dyDescent="0.25">
      <c r="A57" s="28">
        <v>0.45</v>
      </c>
      <c r="B57" s="29">
        <f t="shared" si="8"/>
        <v>1.9861111111111114E-2</v>
      </c>
      <c r="C57" s="13">
        <f t="shared" si="9"/>
        <v>-5.5555555555555549E-3</v>
      </c>
      <c r="D57" s="14">
        <f t="shared" si="10"/>
        <v>5.580736672854375E-2</v>
      </c>
      <c r="E57" s="15">
        <f t="shared" si="3"/>
        <v>-5.5554984006926213E-3</v>
      </c>
      <c r="F57" s="35">
        <f t="shared" si="4"/>
        <v>0.45031003614179826</v>
      </c>
      <c r="G57" s="36">
        <f t="shared" si="5"/>
        <v>7.5667616634794904E-2</v>
      </c>
      <c r="H57" s="37">
        <f t="shared" si="6"/>
        <v>0.44968996385820176</v>
      </c>
      <c r="I57" s="36">
        <f t="shared" si="7"/>
        <v>-3.5945394412572683E-2</v>
      </c>
    </row>
    <row r="58" spans="1:9" x14ac:dyDescent="0.25">
      <c r="A58" s="28">
        <v>0.46</v>
      </c>
      <c r="B58" s="29">
        <f t="shared" si="8"/>
        <v>1.9800000000000005E-2</v>
      </c>
      <c r="C58" s="13">
        <f t="shared" si="9"/>
        <v>-6.6666666666666671E-3</v>
      </c>
      <c r="D58" s="14">
        <f t="shared" si="10"/>
        <v>5.5282094495393515E-2</v>
      </c>
      <c r="E58" s="15">
        <f t="shared" si="3"/>
        <v>-6.6665679038682294E-3</v>
      </c>
      <c r="F58" s="35">
        <f t="shared" si="4"/>
        <v>0.46036853910696907</v>
      </c>
      <c r="G58" s="36">
        <f t="shared" si="5"/>
        <v>7.5080866045352912E-2</v>
      </c>
      <c r="H58" s="37">
        <f t="shared" si="6"/>
        <v>0.45963146089303097</v>
      </c>
      <c r="I58" s="36">
        <f t="shared" si="7"/>
        <v>-3.5480866045352909E-2</v>
      </c>
    </row>
    <row r="59" spans="1:9" x14ac:dyDescent="0.25">
      <c r="A59" s="28">
        <v>0.47</v>
      </c>
      <c r="B59" s="29">
        <f t="shared" si="8"/>
        <v>1.9727777777777778E-2</v>
      </c>
      <c r="C59" s="13">
        <f t="shared" si="9"/>
        <v>-7.7777777777777732E-3</v>
      </c>
      <c r="D59" s="14">
        <f t="shared" si="10"/>
        <v>5.4731968662544192E-2</v>
      </c>
      <c r="E59" s="15">
        <f t="shared" si="3"/>
        <v>-7.777620947621894E-3</v>
      </c>
      <c r="F59" s="35">
        <f t="shared" si="4"/>
        <v>0.47042568021427961</v>
      </c>
      <c r="G59" s="36">
        <f t="shared" si="5"/>
        <v>7.4458091042301403E-2</v>
      </c>
      <c r="H59" s="37">
        <f t="shared" si="6"/>
        <v>0.46957431978572034</v>
      </c>
      <c r="I59" s="36">
        <f t="shared" si="7"/>
        <v>-3.5002535486745839E-2</v>
      </c>
    </row>
    <row r="60" spans="1:9" x14ac:dyDescent="0.25">
      <c r="A60" s="28">
        <v>0.48</v>
      </c>
      <c r="B60" s="29">
        <f t="shared" si="8"/>
        <v>1.9644444444444444E-2</v>
      </c>
      <c r="C60" s="13">
        <f t="shared" si="9"/>
        <v>-8.8888888888888854E-3</v>
      </c>
      <c r="D60" s="14">
        <f t="shared" si="10"/>
        <v>5.4157786360127913E-2</v>
      </c>
      <c r="E60" s="15">
        <f t="shared" si="3"/>
        <v>-8.888654789332975E-3</v>
      </c>
      <c r="F60" s="35">
        <f t="shared" si="4"/>
        <v>0.4804813835281781</v>
      </c>
      <c r="G60" s="36">
        <f t="shared" si="5"/>
        <v>7.3800091364484607E-2</v>
      </c>
      <c r="H60" s="37">
        <f t="shared" si="6"/>
        <v>0.47951861647182187</v>
      </c>
      <c r="I60" s="36">
        <f t="shared" si="7"/>
        <v>-3.451120247559572E-2</v>
      </c>
    </row>
    <row r="61" spans="1:9" x14ac:dyDescent="0.25">
      <c r="A61" s="28">
        <v>0.49</v>
      </c>
      <c r="B61" s="29">
        <f t="shared" si="8"/>
        <v>1.9550000000000001E-2</v>
      </c>
      <c r="C61" s="13">
        <f t="shared" si="9"/>
        <v>-9.9999999999999967E-3</v>
      </c>
      <c r="D61" s="14">
        <f t="shared" si="10"/>
        <v>5.3560306610999996E-2</v>
      </c>
      <c r="E61" s="15">
        <f t="shared" si="3"/>
        <v>-9.9996666866652342E-3</v>
      </c>
      <c r="F61" s="35">
        <f t="shared" si="4"/>
        <v>0.49053557628796501</v>
      </c>
      <c r="G61" s="36">
        <f t="shared" si="5"/>
        <v>7.3107628796503857E-2</v>
      </c>
      <c r="H61" s="37">
        <f t="shared" si="6"/>
        <v>0.48946442371203497</v>
      </c>
      <c r="I61" s="36">
        <f t="shared" si="7"/>
        <v>-3.4007628796503861E-2</v>
      </c>
    </row>
    <row r="62" spans="1:9" x14ac:dyDescent="0.25">
      <c r="A62" s="28">
        <v>0.5</v>
      </c>
      <c r="B62" s="29">
        <f t="shared" si="8"/>
        <v>1.9444444444444445E-2</v>
      </c>
      <c r="C62" s="13">
        <f t="shared" si="9"/>
        <v>-1.111111111111111E-2</v>
      </c>
      <c r="D62" s="14">
        <f t="shared" si="10"/>
        <v>5.2940252000571585E-2</v>
      </c>
      <c r="E62" s="15">
        <f t="shared" si="3"/>
        <v>-1.1110653897607471E-2</v>
      </c>
      <c r="F62" s="35">
        <f t="shared" si="4"/>
        <v>0.50058818871540367</v>
      </c>
      <c r="G62" s="36">
        <f t="shared" si="5"/>
        <v>7.2381428830779637E-2</v>
      </c>
      <c r="H62" s="37">
        <f t="shared" si="6"/>
        <v>0.49941181128459627</v>
      </c>
      <c r="I62" s="36">
        <f t="shared" si="7"/>
        <v>-3.3492539941890741E-2</v>
      </c>
    </row>
    <row r="63" spans="1:9" x14ac:dyDescent="0.25">
      <c r="A63" s="28">
        <v>0.51</v>
      </c>
      <c r="B63" s="29">
        <f t="shared" si="8"/>
        <v>1.9327777777777777E-2</v>
      </c>
      <c r="C63" s="13">
        <f t="shared" si="9"/>
        <v>-1.2222222222222221E-2</v>
      </c>
      <c r="D63" s="14">
        <f t="shared" si="10"/>
        <v>5.2298310197062332E-2</v>
      </c>
      <c r="E63" s="15">
        <f t="shared" si="3"/>
        <v>-1.2221613680514087E-2</v>
      </c>
      <c r="F63" s="35">
        <f t="shared" si="4"/>
        <v>0.51063915383159031</v>
      </c>
      <c r="G63" s="36">
        <f t="shared" si="5"/>
        <v>7.162218218061725E-2</v>
      </c>
      <c r="H63" s="37">
        <f t="shared" si="6"/>
        <v>0.50936084616840971</v>
      </c>
      <c r="I63" s="36">
        <f t="shared" si="7"/>
        <v>-3.2966626625061703E-2</v>
      </c>
    </row>
    <row r="64" spans="1:9" x14ac:dyDescent="0.25">
      <c r="A64" s="28">
        <v>0.52</v>
      </c>
      <c r="B64" s="29">
        <f t="shared" si="8"/>
        <v>1.9199999999999998E-2</v>
      </c>
      <c r="C64" s="13">
        <f t="shared" si="9"/>
        <v>-1.3333333333333334E-2</v>
      </c>
      <c r="D64" s="14">
        <f t="shared" si="10"/>
        <v>5.1635135338231018E-2</v>
      </c>
      <c r="E64" s="15">
        <f t="shared" si="3"/>
        <v>-1.3332543294145679E-2</v>
      </c>
      <c r="F64" s="35">
        <f t="shared" si="4"/>
        <v>0.52068840728213739</v>
      </c>
      <c r="G64" s="36">
        <f t="shared" si="5"/>
        <v>7.08305461603045E-2</v>
      </c>
      <c r="H64" s="37">
        <f t="shared" si="6"/>
        <v>0.51931159271786265</v>
      </c>
      <c r="I64" s="36">
        <f t="shared" si="7"/>
        <v>-3.243054616030451E-2</v>
      </c>
    </row>
    <row r="65" spans="1:9" x14ac:dyDescent="0.25">
      <c r="A65" s="28">
        <v>0.53</v>
      </c>
      <c r="B65" s="29">
        <f t="shared" si="8"/>
        <v>1.9061111111111109E-2</v>
      </c>
      <c r="C65" s="13">
        <f t="shared" si="9"/>
        <v>-1.4444444444444446E-2</v>
      </c>
      <c r="D65" s="14">
        <f t="shared" si="10"/>
        <v>5.0951349298643131E-2</v>
      </c>
      <c r="E65" s="15">
        <f t="shared" si="3"/>
        <v>-1.4443439997709589E-2</v>
      </c>
      <c r="F65" s="35">
        <f t="shared" si="4"/>
        <v>0.53073588716984121</v>
      </c>
      <c r="G65" s="36">
        <f t="shared" si="5"/>
        <v>7.0007145946273747E-2</v>
      </c>
      <c r="H65" s="37">
        <f t="shared" si="6"/>
        <v>0.52926411283015884</v>
      </c>
      <c r="I65" s="36">
        <f t="shared" si="7"/>
        <v>-3.1884923724051523E-2</v>
      </c>
    </row>
    <row r="66" spans="1:9" x14ac:dyDescent="0.25">
      <c r="A66" s="28">
        <v>0.54</v>
      </c>
      <c r="B66" s="29">
        <f t="shared" si="8"/>
        <v>1.8911111111111111E-2</v>
      </c>
      <c r="C66" s="13">
        <f t="shared" si="9"/>
        <v>-1.5555555555555559E-2</v>
      </c>
      <c r="D66" s="14">
        <f t="shared" si="10"/>
        <v>5.024754284981859E-2</v>
      </c>
      <c r="E66" s="15">
        <f t="shared" si="3"/>
        <v>-1.5554301050900462E-2</v>
      </c>
      <c r="F66" s="35">
        <f t="shared" si="4"/>
        <v>0.54078153389409733</v>
      </c>
      <c r="G66" s="36">
        <f t="shared" si="5"/>
        <v>6.9152575731648722E-2</v>
      </c>
      <c r="H66" s="37">
        <f t="shared" si="6"/>
        <v>0.53921846610590274</v>
      </c>
      <c r="I66" s="36">
        <f t="shared" si="7"/>
        <v>-3.1330353509426506E-2</v>
      </c>
    </row>
    <row r="67" spans="1:9" x14ac:dyDescent="0.25">
      <c r="A67" s="28">
        <v>0.55000000000000004</v>
      </c>
      <c r="B67" s="29">
        <f t="shared" si="8"/>
        <v>1.8749999999999999E-2</v>
      </c>
      <c r="C67" s="13">
        <f t="shared" si="9"/>
        <v>-1.666666666666667E-2</v>
      </c>
      <c r="D67" s="14">
        <f t="shared" si="10"/>
        <v>4.9524276724122136E-2</v>
      </c>
      <c r="E67" s="15">
        <f t="shared" si="3"/>
        <v>-1.6665123713940751E-2</v>
      </c>
      <c r="F67" s="35">
        <f t="shared" si="4"/>
        <v>0.550825289996417</v>
      </c>
      <c r="G67" s="36">
        <f t="shared" si="5"/>
        <v>6.8267399785017377E-2</v>
      </c>
      <c r="H67" s="37">
        <f t="shared" si="6"/>
        <v>0.54917471000358309</v>
      </c>
      <c r="I67" s="36">
        <f t="shared" si="7"/>
        <v>-3.0767399785017382E-2</v>
      </c>
    </row>
    <row r="68" spans="1:9" x14ac:dyDescent="0.25">
      <c r="A68" s="28">
        <v>0.56000000000000005</v>
      </c>
      <c r="B68" s="29">
        <f t="shared" si="8"/>
        <v>1.8577777777777776E-2</v>
      </c>
      <c r="C68" s="13">
        <f t="shared" si="9"/>
        <v>-1.7777777777777781E-2</v>
      </c>
      <c r="D68" s="14">
        <f t="shared" si="10"/>
        <v>4.8782082591981975E-2</v>
      </c>
      <c r="E68" s="15">
        <f t="shared" si="3"/>
        <v>-1.7775905247621248E-2</v>
      </c>
      <c r="F68" s="35">
        <f t="shared" si="4"/>
        <v>0.56086710001147067</v>
      </c>
      <c r="G68" s="36">
        <f t="shared" si="5"/>
        <v>6.7352153422998065E-2</v>
      </c>
      <c r="H68" s="37">
        <f t="shared" si="6"/>
        <v>0.55913289998852944</v>
      </c>
      <c r="I68" s="36">
        <f t="shared" si="7"/>
        <v>-3.0196597867442512E-2</v>
      </c>
    </row>
    <row r="69" spans="1:9" x14ac:dyDescent="0.25">
      <c r="A69" s="28">
        <v>0.56999999999999995</v>
      </c>
      <c r="B69" s="29">
        <f t="shared" si="8"/>
        <v>1.8394444444444442E-2</v>
      </c>
      <c r="C69" s="13">
        <f t="shared" si="9"/>
        <v>-1.8888888888888882E-2</v>
      </c>
      <c r="D69" s="14">
        <f t="shared" si="10"/>
        <v>4.802146396091312E-2</v>
      </c>
      <c r="E69" s="15">
        <f t="shared" si="3"/>
        <v>-1.888664291334154E-2</v>
      </c>
      <c r="F69" s="35">
        <f t="shared" si="4"/>
        <v>0.57090691032314489</v>
      </c>
      <c r="G69" s="36">
        <f t="shared" si="5"/>
        <v>6.6407343905058674E-2</v>
      </c>
      <c r="H69" s="37">
        <f t="shared" si="6"/>
        <v>0.56909308967685501</v>
      </c>
      <c r="I69" s="36">
        <f t="shared" si="7"/>
        <v>-2.9618455016169797E-2</v>
      </c>
    </row>
    <row r="70" spans="1:9" x14ac:dyDescent="0.25">
      <c r="A70" s="28">
        <v>0.57999999999999996</v>
      </c>
      <c r="B70" s="29">
        <f t="shared" si="8"/>
        <v>1.8199999999999997E-2</v>
      </c>
      <c r="C70" s="13">
        <f t="shared" si="9"/>
        <v>-1.9999999999999993E-2</v>
      </c>
      <c r="D70" s="14">
        <f t="shared" si="10"/>
        <v>4.7242897003859655E-2</v>
      </c>
      <c r="E70" s="15">
        <f t="shared" si="3"/>
        <v>-1.9997333973150528E-2</v>
      </c>
      <c r="F70" s="35">
        <f t="shared" si="4"/>
        <v>0.58094466902516173</v>
      </c>
      <c r="G70" s="36">
        <f t="shared" si="5"/>
        <v>6.5433451258088166E-2</v>
      </c>
      <c r="H70" s="37">
        <f t="shared" si="6"/>
        <v>0.57905533097483819</v>
      </c>
      <c r="I70" s="36">
        <f t="shared" si="7"/>
        <v>-2.9033451258088174E-2</v>
      </c>
    </row>
    <row r="71" spans="1:9" x14ac:dyDescent="0.25">
      <c r="A71" s="28">
        <v>0.59</v>
      </c>
      <c r="B71" s="29">
        <f t="shared" si="8"/>
        <v>1.7994444444444445E-2</v>
      </c>
      <c r="C71" s="13">
        <f t="shared" si="9"/>
        <v>-2.1111111111111108E-2</v>
      </c>
      <c r="D71" s="14">
        <f t="shared" si="10"/>
        <v>4.644683132353139E-2</v>
      </c>
      <c r="E71" s="15">
        <f t="shared" si="3"/>
        <v>-2.1107975689786795E-2</v>
      </c>
      <c r="F71" s="35">
        <f t="shared" si="4"/>
        <v>0.59098032578585091</v>
      </c>
      <c r="G71" s="36">
        <f t="shared" si="5"/>
        <v>6.4430929037382484E-2</v>
      </c>
      <c r="H71" s="37">
        <f t="shared" si="6"/>
        <v>0.58901967421414902</v>
      </c>
      <c r="I71" s="36">
        <f t="shared" si="7"/>
        <v>-2.8442040148493601E-2</v>
      </c>
    </row>
    <row r="72" spans="1:9" x14ac:dyDescent="0.25">
      <c r="A72" s="28">
        <v>0.6</v>
      </c>
      <c r="B72" s="29">
        <f t="shared" si="8"/>
        <v>1.7777777777777778E-2</v>
      </c>
      <c r="C72" s="13">
        <f t="shared" si="9"/>
        <v>-2.222222222222222E-2</v>
      </c>
      <c r="D72" s="14">
        <f t="shared" si="10"/>
        <v>4.5633690658677853E-2</v>
      </c>
      <c r="E72" s="15">
        <f t="shared" si="3"/>
        <v>-2.2218565326719057E-2</v>
      </c>
      <c r="F72" s="35">
        <f t="shared" si="4"/>
        <v>0.60101383171671552</v>
      </c>
      <c r="G72" s="36">
        <f t="shared" si="5"/>
        <v>6.340020502997562E-2</v>
      </c>
      <c r="H72" s="37">
        <f t="shared" si="6"/>
        <v>0.59898616828328444</v>
      </c>
      <c r="I72" s="36">
        <f t="shared" si="7"/>
        <v>-2.7844649474420061E-2</v>
      </c>
    </row>
    <row r="73" spans="1:9" x14ac:dyDescent="0.25">
      <c r="A73" s="28">
        <v>0.61</v>
      </c>
      <c r="B73" s="29">
        <f t="shared" si="8"/>
        <v>1.755E-2</v>
      </c>
      <c r="C73" s="13">
        <f t="shared" si="9"/>
        <v>-2.3333333333333331E-2</v>
      </c>
      <c r="D73" s="14">
        <f t="shared" si="10"/>
        <v>4.4803873537601117E-2</v>
      </c>
      <c r="E73" s="15">
        <f t="shared" si="3"/>
        <v>-2.3329100148186559E-2</v>
      </c>
      <c r="F73" s="35">
        <f t="shared" si="4"/>
        <v>0.61104513924446413</v>
      </c>
      <c r="G73" s="36">
        <f t="shared" si="5"/>
        <v>6.2341681905606475E-2</v>
      </c>
      <c r="H73" s="37">
        <f t="shared" si="6"/>
        <v>0.60895486075553584</v>
      </c>
      <c r="I73" s="36">
        <f t="shared" si="7"/>
        <v>-2.7241681905606479E-2</v>
      </c>
    </row>
    <row r="74" spans="1:9" x14ac:dyDescent="0.25">
      <c r="A74" s="28">
        <v>0.62</v>
      </c>
      <c r="B74" s="29">
        <f t="shared" si="8"/>
        <v>1.7311111111111107E-2</v>
      </c>
      <c r="C74" s="13">
        <f t="shared" si="9"/>
        <v>-2.4444444444444442E-2</v>
      </c>
      <c r="D74" s="14">
        <f t="shared" si="10"/>
        <v>4.3957753883646408E-2</v>
      </c>
      <c r="E74" s="15">
        <f t="shared" si="3"/>
        <v>-2.4439577419239415E-2</v>
      </c>
      <c r="F74" s="35">
        <f t="shared" si="4"/>
        <v>0.62107420198621854</v>
      </c>
      <c r="G74" s="36">
        <f t="shared" si="5"/>
        <v>6.125573782005056E-2</v>
      </c>
      <c r="H74" s="37">
        <f t="shared" si="6"/>
        <v>0.61892579801378145</v>
      </c>
      <c r="I74" s="36">
        <f t="shared" si="7"/>
        <v>-2.6633515597828349E-2</v>
      </c>
    </row>
    <row r="75" spans="1:9" x14ac:dyDescent="0.25">
      <c r="A75" s="28">
        <v>0.63</v>
      </c>
      <c r="B75" s="29">
        <f t="shared" si="8"/>
        <v>1.7061111111111107E-2</v>
      </c>
      <c r="C75" s="13">
        <f t="shared" si="9"/>
        <v>-2.5555555555555557E-2</v>
      </c>
      <c r="D75" s="14">
        <f t="shared" si="10"/>
        <v>4.309568157691384E-2</v>
      </c>
      <c r="E75" s="15">
        <f t="shared" si="3"/>
        <v>-2.5549994405778941E-2</v>
      </c>
      <c r="F75" s="35">
        <f t="shared" si="4"/>
        <v>0.63110097462763404</v>
      </c>
      <c r="G75" s="36">
        <f t="shared" si="5"/>
        <v>6.0142726975050756E-2</v>
      </c>
      <c r="H75" s="37">
        <f t="shared" si="6"/>
        <v>0.62889902537236597</v>
      </c>
      <c r="I75" s="36">
        <f t="shared" si="7"/>
        <v>-2.6020504752828546E-2</v>
      </c>
    </row>
    <row r="76" spans="1:9" x14ac:dyDescent="0.25">
      <c r="A76" s="28">
        <v>0.64</v>
      </c>
      <c r="B76" s="29">
        <f t="shared" ref="B76:B107" si="11">IF(A76&lt;$H$7,(($G$7/$H$7^2)*(2*$H$7*A76-A76^2)),(($G$7/(1-$H$7)^2)*(1-2*$H$7+2*$H$7*A76-A76^2)))</f>
        <v>1.6799999999999999E-2</v>
      </c>
      <c r="C76" s="13">
        <f t="shared" ref="C76:C112" si="12">IF(A76&lt;$H$7,(2*$G$7/$H$7^2)*($H$7-A76),(2*$G$7/(1-$H$7)^2)*($H$7-A76))</f>
        <v>-2.6666666666666668E-2</v>
      </c>
      <c r="D76" s="14">
        <f t="shared" ref="D76:D112" si="13">($I$7/0.2)*(0.2969*A76^0.5-0.126*A76-0.3516*A76^2+0.2843*A76^3-0.1015*A76^4)</f>
        <v>4.2217982976000004E-2</v>
      </c>
      <c r="E76" s="15">
        <f t="shared" si="3"/>
        <v>-2.6660348374597954E-2</v>
      </c>
      <c r="F76" s="35">
        <f t="shared" si="4"/>
        <v>0.64112541280369728</v>
      </c>
      <c r="G76" s="36">
        <f t="shared" si="5"/>
        <v>5.9002980138647798E-2</v>
      </c>
      <c r="H76" s="37">
        <f t="shared" si="6"/>
        <v>0.63887458719630275</v>
      </c>
      <c r="I76" s="36">
        <f t="shared" si="7"/>
        <v>-2.5402980138647797E-2</v>
      </c>
    </row>
    <row r="77" spans="1:9" x14ac:dyDescent="0.25">
      <c r="A77" s="28">
        <v>0.65</v>
      </c>
      <c r="B77" s="29">
        <f t="shared" si="11"/>
        <v>1.6527777777777777E-2</v>
      </c>
      <c r="C77" s="13">
        <f t="shared" si="12"/>
        <v>-2.777777777777778E-2</v>
      </c>
      <c r="D77" s="14">
        <f t="shared" si="13"/>
        <v>4.132496140319037E-2</v>
      </c>
      <c r="E77" s="15">
        <f t="shared" ref="E77:E112" si="14">ATAN(C77)</f>
        <v>-2.7770636593421039E-2</v>
      </c>
      <c r="F77" s="35">
        <f t="shared" ref="F77:F112" si="15">A77-D77*SIN(E77)</f>
        <v>0.65114747298198739</v>
      </c>
      <c r="G77" s="36">
        <f t="shared" ref="G77:G112" si="16">B77+D77*COS(E77)</f>
        <v>5.7836805129323862E-2</v>
      </c>
      <c r="H77" s="37">
        <f t="shared" ref="H77:H112" si="17">A77+D77*SIN(E77)</f>
        <v>0.64885252701801266</v>
      </c>
      <c r="I77" s="36">
        <f t="shared" ref="I77:I112" si="18">B77-D77*COS(E77)</f>
        <v>-2.4781249573768312E-2</v>
      </c>
    </row>
    <row r="78" spans="1:9" x14ac:dyDescent="0.25">
      <c r="A78" s="28">
        <v>0.66</v>
      </c>
      <c r="B78" s="29">
        <f t="shared" si="11"/>
        <v>1.6244444444444443E-2</v>
      </c>
      <c r="C78" s="13">
        <f t="shared" si="12"/>
        <v>-2.8888888888888891E-2</v>
      </c>
      <c r="D78" s="14">
        <f t="shared" si="13"/>
        <v>4.0416897596184963E-2</v>
      </c>
      <c r="E78" s="15">
        <f t="shared" si="14"/>
        <v>-2.8880856330944768E-2</v>
      </c>
      <c r="F78" s="35">
        <f t="shared" si="15"/>
        <v>0.66116711234820824</v>
      </c>
      <c r="G78" s="36">
        <f t="shared" si="16"/>
        <v>5.6644487267035137E-2</v>
      </c>
      <c r="H78" s="37">
        <f t="shared" si="17"/>
        <v>0.65883288765179182</v>
      </c>
      <c r="I78" s="36">
        <f t="shared" si="18"/>
        <v>-2.4155598378146251E-2</v>
      </c>
    </row>
    <row r="79" spans="1:9" x14ac:dyDescent="0.25">
      <c r="A79" s="28">
        <v>0.67</v>
      </c>
      <c r="B79" s="29">
        <f t="shared" si="11"/>
        <v>1.5949999999999995E-2</v>
      </c>
      <c r="C79" s="13">
        <f t="shared" si="12"/>
        <v>-3.0000000000000002E-2</v>
      </c>
      <c r="D79" s="14">
        <f t="shared" si="13"/>
        <v>3.9494050129135816E-2</v>
      </c>
      <c r="E79" s="15">
        <f t="shared" si="14"/>
        <v>-2.9991004856877904E-2</v>
      </c>
      <c r="F79" s="35">
        <f t="shared" si="15"/>
        <v>0.67118428869381719</v>
      </c>
      <c r="G79" s="36">
        <f t="shared" si="16"/>
        <v>5.5426289793905265E-2</v>
      </c>
      <c r="H79" s="37">
        <f t="shared" si="17"/>
        <v>0.66881571130618289</v>
      </c>
      <c r="I79" s="36">
        <f t="shared" si="18"/>
        <v>-2.3526289793905277E-2</v>
      </c>
    </row>
    <row r="80" spans="1:9" x14ac:dyDescent="0.25">
      <c r="A80" s="28">
        <v>0.68</v>
      </c>
      <c r="B80" s="29">
        <f t="shared" si="11"/>
        <v>1.564444444444444E-2</v>
      </c>
      <c r="C80" s="13">
        <f t="shared" si="12"/>
        <v>-3.1111111111111117E-2</v>
      </c>
      <c r="D80" s="14">
        <f t="shared" si="13"/>
        <v>3.855665580550599E-2</v>
      </c>
      <c r="E80" s="15">
        <f t="shared" si="14"/>
        <v>-3.1101079441981556E-2</v>
      </c>
      <c r="F80" s="35">
        <f t="shared" si="15"/>
        <v>0.68119896030559324</v>
      </c>
      <c r="G80" s="36">
        <f t="shared" si="16"/>
        <v>5.4182454267084096E-2</v>
      </c>
      <c r="H80" s="37">
        <f t="shared" si="17"/>
        <v>0.67880103969440686</v>
      </c>
      <c r="I80" s="36">
        <f t="shared" si="18"/>
        <v>-2.2893565378195216E-2</v>
      </c>
    </row>
    <row r="81" spans="1:9" x14ac:dyDescent="0.25">
      <c r="A81" s="28">
        <v>0.69</v>
      </c>
      <c r="B81" s="29">
        <f t="shared" si="11"/>
        <v>1.5327777777777777E-2</v>
      </c>
      <c r="C81" s="13">
        <f t="shared" si="12"/>
        <v>-3.2222222222222215E-2</v>
      </c>
      <c r="D81" s="14">
        <f t="shared" si="13"/>
        <v>3.7604930025022576E-2</v>
      </c>
      <c r="E81" s="15">
        <f t="shared" si="14"/>
        <v>-3.2211077358109269E-2</v>
      </c>
      <c r="F81" s="35">
        <f t="shared" si="15"/>
        <v>0.69121108585699942</v>
      </c>
      <c r="G81" s="36">
        <f t="shared" si="16"/>
        <v>5.29132009260386E-2</v>
      </c>
      <c r="H81" s="37">
        <f t="shared" si="17"/>
        <v>0.68878891414300047</v>
      </c>
      <c r="I81" s="36">
        <f t="shared" si="18"/>
        <v>-2.2257645370483043E-2</v>
      </c>
    </row>
    <row r="82" spans="1:9" x14ac:dyDescent="0.25">
      <c r="A82" s="28">
        <v>0.7</v>
      </c>
      <c r="B82" s="29">
        <f t="shared" si="11"/>
        <v>1.4999999999999999E-2</v>
      </c>
      <c r="C82" s="13">
        <f t="shared" si="12"/>
        <v>-3.3333333333333326E-2</v>
      </c>
      <c r="D82" s="14">
        <f t="shared" si="13"/>
        <v>3.6639067126780202E-2</v>
      </c>
      <c r="E82" s="15">
        <f t="shared" si="14"/>
        <v>-3.3320995878247189E-2</v>
      </c>
      <c r="F82" s="35">
        <f t="shared" si="15"/>
        <v>0.7012206243012109</v>
      </c>
      <c r="G82" s="36">
        <f t="shared" si="16"/>
        <v>5.1618729036327832E-2</v>
      </c>
      <c r="H82" s="37">
        <f t="shared" si="17"/>
        <v>0.69877937569878901</v>
      </c>
      <c r="I82" s="36">
        <f t="shared" si="18"/>
        <v>-2.1618729036327833E-2</v>
      </c>
    </row>
    <row r="83" spans="1:9" x14ac:dyDescent="0.25">
      <c r="A83" s="28">
        <v>0.71</v>
      </c>
      <c r="B83" s="29">
        <f t="shared" si="11"/>
        <v>1.4661111111111107E-2</v>
      </c>
      <c r="C83" s="13">
        <f t="shared" si="12"/>
        <v>-3.4444444444444437E-2</v>
      </c>
      <c r="D83" s="14">
        <f t="shared" si="13"/>
        <v>3.5659240710363624E-2</v>
      </c>
      <c r="E83" s="15">
        <f t="shared" si="14"/>
        <v>-3.4430832276553976E-2</v>
      </c>
      <c r="F83" s="35">
        <f t="shared" si="15"/>
        <v>0.71122753476568779</v>
      </c>
      <c r="G83" s="36">
        <f t="shared" si="16"/>
        <v>5.0299217211725963E-2</v>
      </c>
      <c r="H83" s="37">
        <f t="shared" si="17"/>
        <v>0.70877246523431214</v>
      </c>
      <c r="I83" s="36">
        <f t="shared" si="18"/>
        <v>-2.0976994989503752E-2</v>
      </c>
    </row>
    <row r="84" spans="1:9" x14ac:dyDescent="0.25">
      <c r="A84" s="28">
        <v>0.72</v>
      </c>
      <c r="B84" s="29">
        <f t="shared" si="11"/>
        <v>1.431111111111111E-2</v>
      </c>
      <c r="C84" s="13">
        <f t="shared" si="12"/>
        <v>-3.5555555555555556E-2</v>
      </c>
      <c r="D84" s="14">
        <f t="shared" si="13"/>
        <v>3.4665603936685864E-2</v>
      </c>
      <c r="E84" s="15">
        <f t="shared" si="14"/>
        <v>-3.5540583828400876E-2</v>
      </c>
      <c r="F84" s="35">
        <f t="shared" si="15"/>
        <v>0.72123177644818748</v>
      </c>
      <c r="G84" s="36">
        <f t="shared" si="16"/>
        <v>4.8954823716385688E-2</v>
      </c>
      <c r="H84" s="37">
        <f t="shared" si="17"/>
        <v>0.71876822355181247</v>
      </c>
      <c r="I84" s="36">
        <f t="shared" si="18"/>
        <v>-2.0332601494163473E-2</v>
      </c>
    </row>
    <row r="85" spans="1:9" x14ac:dyDescent="0.25">
      <c r="A85" s="28">
        <v>0.73</v>
      </c>
      <c r="B85" s="29">
        <f t="shared" si="11"/>
        <v>1.3950000000000001E-2</v>
      </c>
      <c r="C85" s="13">
        <f t="shared" si="12"/>
        <v>-3.6666666666666667E-2</v>
      </c>
      <c r="D85" s="14">
        <f t="shared" si="13"/>
        <v>3.3658289810086499E-2</v>
      </c>
      <c r="E85" s="15">
        <f t="shared" si="14"/>
        <v>-3.6650247810411644E-2</v>
      </c>
      <c r="F85" s="35">
        <f t="shared" si="15"/>
        <v>0.73123330851411472</v>
      </c>
      <c r="G85" s="36">
        <f t="shared" si="16"/>
        <v>4.758568674858274E-2</v>
      </c>
      <c r="H85" s="37">
        <f t="shared" si="17"/>
        <v>0.72876669148588524</v>
      </c>
      <c r="I85" s="36">
        <f t="shared" si="18"/>
        <v>-1.9685686748582742E-2</v>
      </c>
    </row>
    <row r="86" spans="1:9" x14ac:dyDescent="0.25">
      <c r="A86" s="28">
        <v>0.74</v>
      </c>
      <c r="B86" s="29">
        <f t="shared" si="11"/>
        <v>1.3577777777777775E-2</v>
      </c>
      <c r="C86" s="13">
        <f t="shared" si="12"/>
        <v>-3.7777777777777778E-2</v>
      </c>
      <c r="D86" s="14">
        <f t="shared" si="13"/>
        <v>3.2637411443097321E-2</v>
      </c>
      <c r="E86" s="15">
        <f t="shared" si="14"/>
        <v>-3.7759821500502451E-2</v>
      </c>
      <c r="F86" s="35">
        <f t="shared" si="15"/>
        <v>0.7412320899951208</v>
      </c>
      <c r="G86" s="36">
        <f t="shared" si="16"/>
        <v>4.619192470744532E-2</v>
      </c>
      <c r="H86" s="37">
        <f t="shared" si="17"/>
        <v>0.73876791000487918</v>
      </c>
      <c r="I86" s="36">
        <f t="shared" si="18"/>
        <v>-1.9036369151889772E-2</v>
      </c>
    </row>
    <row r="87" spans="1:9" x14ac:dyDescent="0.25">
      <c r="A87" s="28">
        <v>0.75</v>
      </c>
      <c r="B87" s="29">
        <f t="shared" si="11"/>
        <v>1.3194444444444448E-2</v>
      </c>
      <c r="C87" s="13">
        <f t="shared" si="12"/>
        <v>-3.888888888888889E-2</v>
      </c>
      <c r="D87" s="14">
        <f t="shared" si="13"/>
        <v>3.1603062305159899E-2</v>
      </c>
      <c r="E87" s="15">
        <f t="shared" si="14"/>
        <v>-3.8869302177921748E-2</v>
      </c>
      <c r="F87" s="35">
        <f t="shared" si="15"/>
        <v>0.75122807968886962</v>
      </c>
      <c r="G87" s="36">
        <f t="shared" si="16"/>
        <v>4.4773636443949508E-2</v>
      </c>
      <c r="H87" s="37">
        <f t="shared" si="17"/>
        <v>0.74877192031113038</v>
      </c>
      <c r="I87" s="36">
        <f t="shared" si="18"/>
        <v>-1.8384747555060615E-2</v>
      </c>
    </row>
    <row r="88" spans="1:9" x14ac:dyDescent="0.25">
      <c r="A88" s="28">
        <v>0.76</v>
      </c>
      <c r="B88" s="29">
        <f t="shared" si="11"/>
        <v>1.2800000000000004E-2</v>
      </c>
      <c r="C88" s="13">
        <f t="shared" si="12"/>
        <v>-0.04</v>
      </c>
      <c r="D88" s="14">
        <f t="shared" si="13"/>
        <v>3.0555316456467096E-2</v>
      </c>
      <c r="E88" s="15">
        <f t="shared" si="14"/>
        <v>-3.9978687123290044E-2</v>
      </c>
      <c r="F88" s="35">
        <f t="shared" si="15"/>
        <v>0.761221236059894</v>
      </c>
      <c r="G88" s="36">
        <f t="shared" si="16"/>
        <v>4.3330901497349597E-2</v>
      </c>
      <c r="H88" s="37">
        <f t="shared" si="17"/>
        <v>0.75877876394010602</v>
      </c>
      <c r="I88" s="36">
        <f t="shared" si="18"/>
        <v>-1.7730901497349585E-2</v>
      </c>
    </row>
    <row r="89" spans="1:9" x14ac:dyDescent="0.25">
      <c r="A89" s="28">
        <v>0.77</v>
      </c>
      <c r="B89" s="29">
        <f t="shared" si="11"/>
        <v>1.2394444444444449E-2</v>
      </c>
      <c r="C89" s="13">
        <f t="shared" si="12"/>
        <v>-4.1111111111111112E-2</v>
      </c>
      <c r="D89" s="14">
        <f t="shared" si="13"/>
        <v>2.9494228768003269E-2</v>
      </c>
      <c r="E89" s="15">
        <f t="shared" si="14"/>
        <v>-4.1087973618639681E-2</v>
      </c>
      <c r="F89" s="35">
        <f t="shared" si="15"/>
        <v>0.77121151714147318</v>
      </c>
      <c r="G89" s="36">
        <f t="shared" si="16"/>
        <v>4.1863780318115378E-2</v>
      </c>
      <c r="H89" s="37">
        <f t="shared" si="17"/>
        <v>0.76878848285852686</v>
      </c>
      <c r="I89" s="36">
        <f t="shared" si="18"/>
        <v>-1.7074891429226483E-2</v>
      </c>
    </row>
    <row r="90" spans="1:9" x14ac:dyDescent="0.25">
      <c r="A90" s="28">
        <v>0.78</v>
      </c>
      <c r="B90" s="29">
        <f t="shared" si="11"/>
        <v>1.197777777777778E-2</v>
      </c>
      <c r="C90" s="13">
        <f t="shared" si="12"/>
        <v>-4.2222222222222223E-2</v>
      </c>
      <c r="D90" s="14">
        <f t="shared" si="13"/>
        <v>2.8419835128764226E-2</v>
      </c>
      <c r="E90" s="15">
        <f t="shared" si="14"/>
        <v>-4.219715894745453E-2</v>
      </c>
      <c r="F90" s="35">
        <f t="shared" si="15"/>
        <v>0.78119888043846886</v>
      </c>
      <c r="G90" s="36">
        <f t="shared" si="16"/>
        <v>4.0372314478354494E-2</v>
      </c>
      <c r="H90" s="37">
        <f t="shared" si="17"/>
        <v>0.7788011195615312</v>
      </c>
      <c r="I90" s="36">
        <f t="shared" si="18"/>
        <v>-1.6416758922798938E-2</v>
      </c>
    </row>
    <row r="91" spans="1:9" x14ac:dyDescent="0.25">
      <c r="A91" s="28">
        <v>0.79</v>
      </c>
      <c r="B91" s="29">
        <f t="shared" si="11"/>
        <v>1.155E-2</v>
      </c>
      <c r="C91" s="13">
        <f t="shared" si="12"/>
        <v>-4.3333333333333335E-2</v>
      </c>
      <c r="D91" s="14">
        <f t="shared" si="13"/>
        <v>2.7332152641059881E-2</v>
      </c>
      <c r="E91" s="15">
        <f t="shared" si="14"/>
        <v>-4.3306240394709643E-2</v>
      </c>
      <c r="F91" s="35">
        <f t="shared" si="15"/>
        <v>0.79118328283106021</v>
      </c>
      <c r="G91" s="36">
        <f t="shared" si="16"/>
        <v>3.8856526870620411E-2</v>
      </c>
      <c r="H91" s="37">
        <f t="shared" si="17"/>
        <v>0.78881671716893986</v>
      </c>
      <c r="I91" s="36">
        <f t="shared" si="18"/>
        <v>-1.5756526870620416E-2</v>
      </c>
    </row>
    <row r="92" spans="1:9" x14ac:dyDescent="0.25">
      <c r="A92" s="28">
        <v>0.8</v>
      </c>
      <c r="B92" s="29">
        <f t="shared" si="11"/>
        <v>1.111111111111111E-2</v>
      </c>
      <c r="C92" s="13">
        <f t="shared" si="12"/>
        <v>-4.4444444444444453E-2</v>
      </c>
      <c r="D92" s="14">
        <f t="shared" si="13"/>
        <v>2.6231179804725002E-2</v>
      </c>
      <c r="E92" s="15">
        <f t="shared" si="14"/>
        <v>-4.4415215246910847E-2</v>
      </c>
      <c r="F92" s="35">
        <f t="shared" si="15"/>
        <v>0.80116468047932532</v>
      </c>
      <c r="G92" s="36">
        <f t="shared" si="16"/>
        <v>3.7316421895928972E-2</v>
      </c>
      <c r="H92" s="37">
        <f t="shared" si="17"/>
        <v>0.79883531952067477</v>
      </c>
      <c r="I92" s="36">
        <f t="shared" si="18"/>
        <v>-1.5094199673706756E-2</v>
      </c>
    </row>
    <row r="93" spans="1:9" x14ac:dyDescent="0.25">
      <c r="A93" s="28">
        <v>0.81</v>
      </c>
      <c r="B93" s="29">
        <f t="shared" si="11"/>
        <v>1.0661111111111109E-2</v>
      </c>
      <c r="C93" s="13">
        <f t="shared" si="12"/>
        <v>-4.5555555555555564E-2</v>
      </c>
      <c r="D93" s="14">
        <f t="shared" si="13"/>
        <v>2.5116896690999972E-2</v>
      </c>
      <c r="E93" s="15">
        <f t="shared" si="14"/>
        <v>-4.5524080792134256E-2</v>
      </c>
      <c r="F93" s="35">
        <f t="shared" si="15"/>
        <v>0.81114302872861777</v>
      </c>
      <c r="G93" s="36">
        <f t="shared" si="16"/>
        <v>3.5751985641743159E-2</v>
      </c>
      <c r="H93" s="37">
        <f t="shared" si="17"/>
        <v>0.80885697127138234</v>
      </c>
      <c r="I93" s="36">
        <f t="shared" si="18"/>
        <v>-1.4429763419520939E-2</v>
      </c>
    </row>
    <row r="94" spans="1:9" x14ac:dyDescent="0.25">
      <c r="A94" s="28">
        <v>0.82</v>
      </c>
      <c r="B94" s="29">
        <f t="shared" si="11"/>
        <v>1.0200000000000006E-2</v>
      </c>
      <c r="C94" s="13">
        <f t="shared" si="12"/>
        <v>-4.6666666666666662E-2</v>
      </c>
      <c r="D94" s="14">
        <f t="shared" si="13"/>
        <v>2.3989265106779911E-2</v>
      </c>
      <c r="E94" s="15">
        <f t="shared" si="14"/>
        <v>-4.6632834320065791E-2</v>
      </c>
      <c r="F94" s="35">
        <f t="shared" si="15"/>
        <v>0.8211182820156957</v>
      </c>
      <c r="G94" s="36">
        <f t="shared" si="16"/>
        <v>3.4163186050622317E-2</v>
      </c>
      <c r="H94" s="37">
        <f t="shared" si="17"/>
        <v>0.8188817179843042</v>
      </c>
      <c r="I94" s="36">
        <f t="shared" si="18"/>
        <v>-1.3763186050622307E-2</v>
      </c>
    </row>
    <row r="95" spans="1:9" x14ac:dyDescent="0.25">
      <c r="A95" s="28">
        <v>0.83</v>
      </c>
      <c r="B95" s="29">
        <f t="shared" si="11"/>
        <v>9.7277777777777796E-3</v>
      </c>
      <c r="C95" s="13">
        <f t="shared" si="12"/>
        <v>-4.7777777777777773E-2</v>
      </c>
      <c r="D95" s="14">
        <f t="shared" si="13"/>
        <v>2.2848228749876517E-2</v>
      </c>
      <c r="E95" s="15">
        <f t="shared" si="14"/>
        <v>-4.7741473122040613E-2</v>
      </c>
      <c r="F95" s="35">
        <f t="shared" si="15"/>
        <v>0.83109039377555904</v>
      </c>
      <c r="G95" s="36">
        <f t="shared" si="16"/>
        <v>3.2549973080178152E-2</v>
      </c>
      <c r="H95" s="37">
        <f t="shared" si="17"/>
        <v>0.82890960622444088</v>
      </c>
      <c r="I95" s="36">
        <f t="shared" si="18"/>
        <v>-1.3094417524622592E-2</v>
      </c>
    </row>
    <row r="96" spans="1:9" x14ac:dyDescent="0.25">
      <c r="A96" s="28">
        <v>0.84</v>
      </c>
      <c r="B96" s="29">
        <f t="shared" si="11"/>
        <v>9.244444444444451E-3</v>
      </c>
      <c r="C96" s="13">
        <f t="shared" si="12"/>
        <v>-4.8888888888888885E-2</v>
      </c>
      <c r="D96" s="14">
        <f t="shared" si="13"/>
        <v>2.1693713355886664E-2</v>
      </c>
      <c r="E96" s="15">
        <f t="shared" si="14"/>
        <v>-4.8849994491082412E-2</v>
      </c>
      <c r="F96" s="35">
        <f t="shared" si="15"/>
        <v>0.84105931634895703</v>
      </c>
      <c r="G96" s="36">
        <f t="shared" si="16"/>
        <v>3.0912278854929677E-2</v>
      </c>
      <c r="H96" s="37">
        <f t="shared" si="17"/>
        <v>0.83894068365104291</v>
      </c>
      <c r="I96" s="36">
        <f t="shared" si="18"/>
        <v>-1.2423389966040775E-2</v>
      </c>
    </row>
    <row r="97" spans="1:9" x14ac:dyDescent="0.25">
      <c r="A97" s="28">
        <v>0.85</v>
      </c>
      <c r="B97" s="29">
        <f t="shared" si="11"/>
        <v>8.750000000000006E-3</v>
      </c>
      <c r="C97" s="13">
        <f t="shared" si="12"/>
        <v>-4.9999999999999996E-2</v>
      </c>
      <c r="D97" s="14">
        <f t="shared" si="13"/>
        <v>2.0525626837215497E-2</v>
      </c>
      <c r="E97" s="15">
        <f t="shared" si="14"/>
        <v>-4.9958395721942758E-2</v>
      </c>
      <c r="F97" s="35">
        <f t="shared" si="15"/>
        <v>0.85102500089053013</v>
      </c>
      <c r="G97" s="36">
        <f t="shared" si="16"/>
        <v>2.9250017810602838E-2</v>
      </c>
      <c r="H97" s="37">
        <f t="shared" si="17"/>
        <v>0.84897499910946983</v>
      </c>
      <c r="I97" s="36">
        <f t="shared" si="18"/>
        <v>-1.1750017810602828E-2</v>
      </c>
    </row>
    <row r="98" spans="1:9" x14ac:dyDescent="0.25">
      <c r="A98" s="28">
        <v>0.86</v>
      </c>
      <c r="B98" s="29">
        <f t="shared" si="11"/>
        <v>8.2444444444444501E-3</v>
      </c>
      <c r="C98" s="13">
        <f t="shared" si="12"/>
        <v>-5.1111111111111114E-2</v>
      </c>
      <c r="D98" s="14">
        <f t="shared" si="13"/>
        <v>1.9343859414760436E-2</v>
      </c>
      <c r="E98" s="15">
        <f t="shared" si="14"/>
        <v>-5.1066674111140339E-2</v>
      </c>
      <c r="F98" s="35">
        <f t="shared" si="15"/>
        <v>0.86098739727755447</v>
      </c>
      <c r="G98" s="36">
        <f t="shared" si="16"/>
        <v>2.7563086831379768E-2</v>
      </c>
      <c r="H98" s="37">
        <f t="shared" si="17"/>
        <v>0.85901260272244551</v>
      </c>
      <c r="I98" s="36">
        <f t="shared" si="18"/>
        <v>-1.1074197942490868E-2</v>
      </c>
    </row>
    <row r="99" spans="1:9" x14ac:dyDescent="0.25">
      <c r="A99" s="28">
        <v>0.87</v>
      </c>
      <c r="B99" s="29">
        <f t="shared" si="11"/>
        <v>7.7277777777777787E-3</v>
      </c>
      <c r="C99" s="13">
        <f t="shared" si="12"/>
        <v>-5.2222222222222225E-2</v>
      </c>
      <c r="D99" s="14">
        <f t="shared" si="13"/>
        <v>1.8148283742724137E-2</v>
      </c>
      <c r="E99" s="15">
        <f t="shared" si="14"/>
        <v>-5.2174826957000091E-2</v>
      </c>
      <c r="F99" s="35">
        <f t="shared" si="15"/>
        <v>0.87094645401925663</v>
      </c>
      <c r="G99" s="36">
        <f t="shared" si="16"/>
        <v>2.5851365380563773E-2</v>
      </c>
      <c r="H99" s="37">
        <f t="shared" si="17"/>
        <v>0.86905354598074336</v>
      </c>
      <c r="I99" s="36">
        <f t="shared" si="18"/>
        <v>-1.0395809825008217E-2</v>
      </c>
    </row>
    <row r="100" spans="1:9" x14ac:dyDescent="0.25">
      <c r="A100" s="28">
        <v>0.88</v>
      </c>
      <c r="B100" s="29">
        <f t="shared" si="11"/>
        <v>7.2000000000000033E-3</v>
      </c>
      <c r="C100" s="13">
        <f t="shared" si="12"/>
        <v>-5.3333333333333337E-2</v>
      </c>
      <c r="D100" s="14">
        <f t="shared" si="13"/>
        <v>1.6938755026989112E-2</v>
      </c>
      <c r="E100" s="15">
        <f t="shared" si="14"/>
        <v>-5.3282851559692368E-2</v>
      </c>
      <c r="F100" s="35">
        <f t="shared" si="15"/>
        <v>0.88090211816667152</v>
      </c>
      <c r="G100" s="36">
        <f t="shared" si="16"/>
        <v>2.4114715625091369E-2</v>
      </c>
      <c r="H100" s="37">
        <f t="shared" si="17"/>
        <v>0.87909788183332849</v>
      </c>
      <c r="I100" s="36">
        <f t="shared" si="18"/>
        <v>-9.7147156250913646E-3</v>
      </c>
    </row>
    <row r="101" spans="1:9" x14ac:dyDescent="0.25">
      <c r="A101" s="28">
        <v>0.89</v>
      </c>
      <c r="B101" s="29">
        <f t="shared" si="11"/>
        <v>6.6611111111111116E-3</v>
      </c>
      <c r="C101" s="13">
        <f t="shared" si="12"/>
        <v>-5.4444444444444448E-2</v>
      </c>
      <c r="D101" s="14">
        <f t="shared" si="13"/>
        <v>1.5715111137456338E-2</v>
      </c>
      <c r="E101" s="15">
        <f t="shared" si="14"/>
        <v>-5.4390745221271901E-2</v>
      </c>
      <c r="F101" s="35">
        <f t="shared" si="15"/>
        <v>0.8908543352230176</v>
      </c>
      <c r="G101" s="36">
        <f t="shared" si="16"/>
        <v>2.2352982554291991E-2</v>
      </c>
      <c r="H101" s="37">
        <f t="shared" si="17"/>
        <v>0.88914566477698243</v>
      </c>
      <c r="I101" s="36">
        <f t="shared" si="18"/>
        <v>-9.0307603320697698E-3</v>
      </c>
    </row>
    <row r="102" spans="1:9" x14ac:dyDescent="0.25">
      <c r="A102" s="28">
        <v>0.9</v>
      </c>
      <c r="B102" s="29">
        <f t="shared" si="11"/>
        <v>6.1111111111111106E-3</v>
      </c>
      <c r="C102" s="13">
        <f t="shared" si="12"/>
        <v>-5.5555555555555559E-2</v>
      </c>
      <c r="D102" s="14">
        <f t="shared" si="13"/>
        <v>1.4477172714718477E-2</v>
      </c>
      <c r="E102" s="15">
        <f t="shared" si="14"/>
        <v>-5.5498505245716839E-2</v>
      </c>
      <c r="F102" s="35">
        <f t="shared" si="15"/>
        <v>0.9008030490545641</v>
      </c>
      <c r="G102" s="36">
        <f t="shared" si="16"/>
        <v>2.0565994093264678E-2</v>
      </c>
      <c r="H102" s="37">
        <f t="shared" si="17"/>
        <v>0.89919695094543595</v>
      </c>
      <c r="I102" s="36">
        <f t="shared" si="18"/>
        <v>-8.3437718710424585E-3</v>
      </c>
    </row>
    <row r="103" spans="1:9" x14ac:dyDescent="0.25">
      <c r="A103" s="28">
        <v>0.91</v>
      </c>
      <c r="B103" s="29">
        <f t="shared" si="11"/>
        <v>5.5499999999999994E-3</v>
      </c>
      <c r="C103" s="13">
        <f t="shared" si="12"/>
        <v>-5.6666666666666671E-2</v>
      </c>
      <c r="D103" s="14">
        <f t="shared" si="13"/>
        <v>1.3224743271414676E-2</v>
      </c>
      <c r="E103" s="15">
        <f t="shared" si="14"/>
        <v>-5.660612893896759E-2</v>
      </c>
      <c r="F103" s="35">
        <f t="shared" si="15"/>
        <v>0.91074820180196903</v>
      </c>
      <c r="G103" s="36">
        <f t="shared" si="16"/>
        <v>1.875356121121715E-2</v>
      </c>
      <c r="H103" s="37">
        <f t="shared" si="17"/>
        <v>0.90925179819803104</v>
      </c>
      <c r="I103" s="36">
        <f t="shared" si="18"/>
        <v>-7.6535612112171511E-3</v>
      </c>
    </row>
    <row r="104" spans="1:9" x14ac:dyDescent="0.25">
      <c r="A104" s="28">
        <v>0.92</v>
      </c>
      <c r="B104" s="29">
        <f t="shared" si="11"/>
        <v>4.9777777777777789E-3</v>
      </c>
      <c r="C104" s="13">
        <f t="shared" si="12"/>
        <v>-5.7777777777777782E-2</v>
      </c>
      <c r="D104" s="14">
        <f t="shared" si="13"/>
        <v>1.1957609288585563E-2</v>
      </c>
      <c r="E104" s="15">
        <f t="shared" si="14"/>
        <v>-5.7713613608965673E-2</v>
      </c>
      <c r="F104" s="35">
        <f t="shared" si="15"/>
        <v>0.92068973379206664</v>
      </c>
      <c r="G104" s="36">
        <f t="shared" si="16"/>
        <v>1.6915478025084592E-2</v>
      </c>
      <c r="H104" s="37">
        <f t="shared" si="17"/>
        <v>0.91931026620793344</v>
      </c>
      <c r="I104" s="36">
        <f t="shared" si="18"/>
        <v>-6.959922469529034E-3</v>
      </c>
    </row>
    <row r="105" spans="1:9" x14ac:dyDescent="0.25">
      <c r="A105" s="28">
        <v>0.93</v>
      </c>
      <c r="B105" s="29">
        <f t="shared" si="11"/>
        <v>4.3944444444444421E-3</v>
      </c>
      <c r="C105" s="13">
        <f t="shared" si="12"/>
        <v>-5.8888888888888893E-2</v>
      </c>
      <c r="D105" s="14">
        <f t="shared" si="13"/>
        <v>1.0675540307328476E-2</v>
      </c>
      <c r="E105" s="15">
        <f t="shared" si="14"/>
        <v>-5.8820956565692466E-2</v>
      </c>
      <c r="F105" s="35">
        <f t="shared" si="15"/>
        <v>0.93062758345008556</v>
      </c>
      <c r="G105" s="36">
        <f t="shared" si="16"/>
        <v>1.5051521898726819E-2</v>
      </c>
      <c r="H105" s="37">
        <f t="shared" si="17"/>
        <v>0.92937241654991454</v>
      </c>
      <c r="I105" s="36">
        <f t="shared" si="18"/>
        <v>-6.2626330098379344E-3</v>
      </c>
    </row>
    <row r="106" spans="1:9" x14ac:dyDescent="0.25">
      <c r="A106" s="28">
        <v>0.94</v>
      </c>
      <c r="B106" s="29">
        <f t="shared" si="11"/>
        <v>3.8000000000000013E-3</v>
      </c>
      <c r="C106" s="13">
        <f t="shared" si="12"/>
        <v>-0.06</v>
      </c>
      <c r="D106" s="14">
        <f t="shared" si="13"/>
        <v>9.378289016028921E-3</v>
      </c>
      <c r="E106" s="15">
        <f t="shared" si="14"/>
        <v>-5.9928155121207881E-2</v>
      </c>
      <c r="F106" s="35">
        <f t="shared" si="15"/>
        <v>0.94056168721227862</v>
      </c>
      <c r="G106" s="36">
        <f t="shared" si="16"/>
        <v>1.3161453537978559E-2</v>
      </c>
      <c r="H106" s="37">
        <f t="shared" si="17"/>
        <v>0.93943831278772127</v>
      </c>
      <c r="I106" s="36">
        <f t="shared" si="18"/>
        <v>-5.5614535379785567E-3</v>
      </c>
    </row>
    <row r="107" spans="1:9" x14ac:dyDescent="0.25">
      <c r="A107" s="28">
        <v>0.95</v>
      </c>
      <c r="B107" s="29">
        <f t="shared" si="11"/>
        <v>3.1944444444444446E-3</v>
      </c>
      <c r="C107" s="13">
        <f t="shared" si="12"/>
        <v>-6.1111111111111109E-2</v>
      </c>
      <c r="D107" s="14">
        <f t="shared" si="13"/>
        <v>8.0655913334268439E-3</v>
      </c>
      <c r="E107" s="15">
        <f t="shared" si="14"/>
        <v>-6.1035206589688987E-2</v>
      </c>
      <c r="F107" s="35">
        <f t="shared" si="15"/>
        <v>0.95049197943895003</v>
      </c>
      <c r="G107" s="36">
        <f t="shared" si="16"/>
        <v>1.1245017081810095E-2</v>
      </c>
      <c r="H107" s="37">
        <f t="shared" si="17"/>
        <v>0.94950802056104988</v>
      </c>
      <c r="I107" s="36">
        <f t="shared" si="18"/>
        <v>-4.8561281929212063E-3</v>
      </c>
    </row>
    <row r="108" spans="1:9" x14ac:dyDescent="0.25">
      <c r="A108" s="28">
        <v>0.96</v>
      </c>
      <c r="B108" s="29">
        <f t="shared" ref="B108:B139" si="19">IF(A108&lt;$H$7,(($G$7/$H$7^2)*(2*$H$7*A108-A108^2)),(($G$7/(1-$H$7)^2)*(1-2*$H$7+2*$H$7*A108-A108^2)))</f>
        <v>2.5777777777777778E-3</v>
      </c>
      <c r="C108" s="13">
        <f t="shared" si="12"/>
        <v>-6.222222222222222E-2</v>
      </c>
      <c r="D108" s="14">
        <f t="shared" si="13"/>
        <v>6.7371664877581006E-3</v>
      </c>
      <c r="E108" s="15">
        <f t="shared" si="14"/>
        <v>-6.2142108287468495E-2</v>
      </c>
      <c r="F108" s="35">
        <f t="shared" si="15"/>
        <v>0.96041839232786141</v>
      </c>
      <c r="G108" s="36">
        <f t="shared" si="16"/>
        <v>9.3019401898375466E-3</v>
      </c>
      <c r="H108" s="37">
        <f t="shared" si="17"/>
        <v>0.95958160767213851</v>
      </c>
      <c r="I108" s="36">
        <f t="shared" si="18"/>
        <v>-4.1463846342819919E-3</v>
      </c>
    </row>
    <row r="109" spans="1:9" x14ac:dyDescent="0.25">
      <c r="A109" s="28">
        <v>0.97</v>
      </c>
      <c r="B109" s="29">
        <f t="shared" si="19"/>
        <v>1.9500000000000012E-3</v>
      </c>
      <c r="C109" s="13">
        <f t="shared" si="12"/>
        <v>-6.3333333333333339E-2</v>
      </c>
      <c r="D109" s="14">
        <f t="shared" si="13"/>
        <v>5.3927170921957918E-3</v>
      </c>
      <c r="E109" s="15">
        <f t="shared" si="14"/>
        <v>-6.324885753307323E-2</v>
      </c>
      <c r="F109" s="35">
        <f t="shared" si="15"/>
        <v>0.97034085582800567</v>
      </c>
      <c r="G109" s="36">
        <f t="shared" si="16"/>
        <v>7.3319341264061547E-3</v>
      </c>
      <c r="H109" s="37">
        <f t="shared" si="17"/>
        <v>0.96965914417199428</v>
      </c>
      <c r="I109" s="36">
        <f t="shared" si="18"/>
        <v>-3.4319341264061522E-3</v>
      </c>
    </row>
    <row r="110" spans="1:9" x14ac:dyDescent="0.25">
      <c r="A110" s="28">
        <v>0.98</v>
      </c>
      <c r="B110" s="29">
        <f t="shared" si="19"/>
        <v>1.3111111111111149E-3</v>
      </c>
      <c r="C110" s="13">
        <f t="shared" si="12"/>
        <v>-6.4444444444444443E-2</v>
      </c>
      <c r="D110" s="14">
        <f t="shared" si="13"/>
        <v>4.0319292168002254E-3</v>
      </c>
      <c r="E110" s="15">
        <f t="shared" si="14"/>
        <v>-6.4355451647262488E-2</v>
      </c>
      <c r="F110" s="35">
        <f t="shared" si="15"/>
        <v>0.9802592975537332</v>
      </c>
      <c r="G110" s="36">
        <f t="shared" si="16"/>
        <v>5.3346938414542168E-3</v>
      </c>
      <c r="H110" s="37">
        <f t="shared" si="17"/>
        <v>0.97974070244626676</v>
      </c>
      <c r="I110" s="36">
        <f t="shared" si="18"/>
        <v>-2.7124716192319866E-3</v>
      </c>
    </row>
    <row r="111" spans="1:9" x14ac:dyDescent="0.25">
      <c r="A111" s="28">
        <v>0.99</v>
      </c>
      <c r="B111" s="29">
        <f t="shared" si="19"/>
        <v>6.6111111111111232E-4</v>
      </c>
      <c r="C111" s="13">
        <f t="shared" si="12"/>
        <v>-6.5555555555555561E-2</v>
      </c>
      <c r="D111" s="14">
        <f t="shared" si="13"/>
        <v>2.6544724571732265E-3</v>
      </c>
      <c r="E111" s="15">
        <f t="shared" si="14"/>
        <v>-6.5461887953066344E-2</v>
      </c>
      <c r="F111" s="35">
        <f t="shared" si="15"/>
        <v>0.99017364269921915</v>
      </c>
      <c r="G111" s="36">
        <f t="shared" si="16"/>
        <v>3.3098980483522258E-3</v>
      </c>
      <c r="H111" s="37">
        <f t="shared" si="17"/>
        <v>0.98982635730078083</v>
      </c>
      <c r="I111" s="36">
        <f t="shared" si="18"/>
        <v>-1.9876758261300012E-3</v>
      </c>
    </row>
    <row r="112" spans="1:9" ht="15.75" thickBot="1" x14ac:dyDescent="0.3">
      <c r="A112" s="30">
        <v>1</v>
      </c>
      <c r="B112" s="31">
        <f t="shared" si="19"/>
        <v>0</v>
      </c>
      <c r="C112" s="16">
        <f t="shared" si="12"/>
        <v>-6.6666666666666666E-2</v>
      </c>
      <c r="D112" s="17">
        <f t="shared" si="13"/>
        <v>1.2599999999999777E-3</v>
      </c>
      <c r="E112" s="18">
        <f t="shared" si="14"/>
        <v>-6.6568163775823808E-2</v>
      </c>
      <c r="F112" s="38">
        <f t="shared" si="15"/>
        <v>1.00008381395326</v>
      </c>
      <c r="G112" s="39">
        <f t="shared" si="16"/>
        <v>1.2572092988993051E-3</v>
      </c>
      <c r="H112" s="40">
        <f t="shared" si="17"/>
        <v>0.99991618604674004</v>
      </c>
      <c r="I112" s="39">
        <f t="shared" si="18"/>
        <v>-1.2572092988993051E-3</v>
      </c>
    </row>
  </sheetData>
  <sheetProtection algorithmName="SHA-512" hashValue="KJ3EZLdApBFbKkVGA1dGCRvYkxATrnZVdxPuOA8OF64FTI1oGgeqLaS3NxGrRyIRhLDKKoQTH3E62ViWVxiotg==" saltValue="Mm5khYIBUEdM38sakMCdOg==" spinCount="100000" sheet="1" objects="1" scenarios="1"/>
  <mergeCells count="6">
    <mergeCell ref="A10:B10"/>
    <mergeCell ref="F10:G10"/>
    <mergeCell ref="H10:I10"/>
    <mergeCell ref="A1:I1"/>
    <mergeCell ref="A3:I3"/>
    <mergeCell ref="A2:I2"/>
  </mergeCells>
  <hyperlinks>
    <hyperlink ref="A3" r:id="rId1" xr:uid="{FAA148E8-FDBA-4204-9866-5466A12C8D9D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F075E-FBF0-4BFB-8B61-04E2C44020A2}">
  <dimension ref="A1:E202"/>
  <sheetViews>
    <sheetView topLeftCell="A161" workbookViewId="0">
      <selection activeCell="O172" sqref="O172"/>
    </sheetView>
  </sheetViews>
  <sheetFormatPr baseColWidth="10" defaultRowHeight="15" x14ac:dyDescent="0.25"/>
  <cols>
    <col min="1" max="16384" width="11.42578125" style="52"/>
  </cols>
  <sheetData>
    <row r="1" spans="1:5" x14ac:dyDescent="0.25">
      <c r="A1" s="52" t="s">
        <v>19</v>
      </c>
      <c r="B1" s="52" t="s">
        <v>20</v>
      </c>
      <c r="C1" s="52" t="s">
        <v>21</v>
      </c>
      <c r="D1" s="52" t="s">
        <v>22</v>
      </c>
      <c r="E1" s="52" t="s">
        <v>23</v>
      </c>
    </row>
    <row r="2" spans="1:5" x14ac:dyDescent="0.25">
      <c r="A2" s="52">
        <v>1</v>
      </c>
      <c r="B2" s="52">
        <v>1</v>
      </c>
      <c r="C2" s="53">
        <f>nsiv.io!F112</f>
        <v>1.00008381395326</v>
      </c>
      <c r="D2" s="53">
        <f>nsiv.io!G112</f>
        <v>1.2572092988993051E-3</v>
      </c>
      <c r="E2" s="52">
        <v>0</v>
      </c>
    </row>
    <row r="3" spans="1:5" x14ac:dyDescent="0.25">
      <c r="A3" s="52">
        <v>1</v>
      </c>
      <c r="B3" s="52">
        <v>2</v>
      </c>
      <c r="C3" s="53">
        <f>nsiv.io!F111</f>
        <v>0.99017364269921915</v>
      </c>
      <c r="D3" s="53">
        <f>nsiv.io!G111</f>
        <v>3.3098980483522258E-3</v>
      </c>
      <c r="E3" s="52">
        <v>0</v>
      </c>
    </row>
    <row r="4" spans="1:5" x14ac:dyDescent="0.25">
      <c r="A4" s="52">
        <v>1</v>
      </c>
      <c r="B4" s="52">
        <v>3</v>
      </c>
      <c r="C4" s="53">
        <f>nsiv.io!F110</f>
        <v>0.9802592975537332</v>
      </c>
      <c r="D4" s="53">
        <f>nsiv.io!G110</f>
        <v>5.3346938414542168E-3</v>
      </c>
      <c r="E4" s="52">
        <v>0</v>
      </c>
    </row>
    <row r="5" spans="1:5" x14ac:dyDescent="0.25">
      <c r="A5" s="52">
        <v>1</v>
      </c>
      <c r="B5" s="52">
        <v>4</v>
      </c>
      <c r="C5" s="53">
        <f>nsiv.io!F109</f>
        <v>0.97034085582800567</v>
      </c>
      <c r="D5" s="53">
        <f>nsiv.io!G109</f>
        <v>7.3319341264061547E-3</v>
      </c>
      <c r="E5" s="52">
        <v>0</v>
      </c>
    </row>
    <row r="6" spans="1:5" x14ac:dyDescent="0.25">
      <c r="A6" s="52">
        <v>1</v>
      </c>
      <c r="B6" s="52">
        <v>5</v>
      </c>
      <c r="C6" s="53">
        <f>nsiv.io!F108</f>
        <v>0.96041839232786141</v>
      </c>
      <c r="D6" s="53">
        <f>nsiv.io!G108</f>
        <v>9.3019401898375466E-3</v>
      </c>
      <c r="E6" s="52">
        <v>0</v>
      </c>
    </row>
    <row r="7" spans="1:5" x14ac:dyDescent="0.25">
      <c r="A7" s="52">
        <v>1</v>
      </c>
      <c r="B7" s="52">
        <v>6</v>
      </c>
      <c r="C7" s="53">
        <f>nsiv.io!F107</f>
        <v>0.95049197943895003</v>
      </c>
      <c r="D7" s="53">
        <f>nsiv.io!G107</f>
        <v>1.1245017081810095E-2</v>
      </c>
      <c r="E7" s="52">
        <v>0</v>
      </c>
    </row>
    <row r="8" spans="1:5" x14ac:dyDescent="0.25">
      <c r="A8" s="52">
        <v>1</v>
      </c>
      <c r="B8" s="52">
        <v>7</v>
      </c>
      <c r="C8" s="53">
        <f>nsiv.io!F106</f>
        <v>0.94056168721227862</v>
      </c>
      <c r="D8" s="53">
        <f>nsiv.io!G106</f>
        <v>1.3161453537978559E-2</v>
      </c>
      <c r="E8" s="52">
        <v>0</v>
      </c>
    </row>
    <row r="9" spans="1:5" x14ac:dyDescent="0.25">
      <c r="A9" s="52">
        <v>1</v>
      </c>
      <c r="B9" s="52">
        <v>8</v>
      </c>
      <c r="C9" s="53">
        <f>nsiv.io!F105</f>
        <v>0.93062758345008556</v>
      </c>
      <c r="D9" s="53">
        <f>nsiv.io!G105</f>
        <v>1.5051521898726819E-2</v>
      </c>
      <c r="E9" s="52">
        <v>0</v>
      </c>
    </row>
    <row r="10" spans="1:5" x14ac:dyDescent="0.25">
      <c r="A10" s="52">
        <v>1</v>
      </c>
      <c r="B10" s="52">
        <v>9</v>
      </c>
      <c r="C10" s="53">
        <f>nsiv.io!F104</f>
        <v>0.92068973379206664</v>
      </c>
      <c r="D10" s="53">
        <f>nsiv.io!G104</f>
        <v>1.6915478025084592E-2</v>
      </c>
      <c r="E10" s="52">
        <v>0</v>
      </c>
    </row>
    <row r="11" spans="1:5" x14ac:dyDescent="0.25">
      <c r="A11" s="52">
        <v>1</v>
      </c>
      <c r="B11" s="52">
        <v>10</v>
      </c>
      <c r="C11" s="53">
        <f>nsiv.io!F103</f>
        <v>0.91074820180196903</v>
      </c>
      <c r="D11" s="53">
        <f>nsiv.io!G103</f>
        <v>1.875356121121715E-2</v>
      </c>
      <c r="E11" s="52">
        <v>0</v>
      </c>
    </row>
    <row r="12" spans="1:5" x14ac:dyDescent="0.25">
      <c r="A12" s="52">
        <v>1</v>
      </c>
      <c r="B12" s="52">
        <v>11</v>
      </c>
      <c r="C12" s="53">
        <f>nsiv.io!F102</f>
        <v>0.9008030490545641</v>
      </c>
      <c r="D12" s="53">
        <f>nsiv.io!G102</f>
        <v>2.0565994093264678E-2</v>
      </c>
      <c r="E12" s="52">
        <v>0</v>
      </c>
    </row>
    <row r="13" spans="1:5" x14ac:dyDescent="0.25">
      <c r="A13" s="52">
        <v>1</v>
      </c>
      <c r="B13" s="52">
        <v>12</v>
      </c>
      <c r="C13" s="53">
        <f>nsiv.io!F101</f>
        <v>0.8908543352230176</v>
      </c>
      <c r="D13" s="53">
        <f>nsiv.io!G101</f>
        <v>2.2352982554291991E-2</v>
      </c>
      <c r="E13" s="52">
        <v>0</v>
      </c>
    </row>
    <row r="14" spans="1:5" x14ac:dyDescent="0.25">
      <c r="A14" s="52">
        <v>1</v>
      </c>
      <c r="B14" s="52">
        <v>13</v>
      </c>
      <c r="C14" s="53">
        <f>nsiv.io!F100</f>
        <v>0.88090211816667152</v>
      </c>
      <c r="D14" s="53">
        <f>nsiv.io!G100</f>
        <v>2.4114715625091369E-2</v>
      </c>
      <c r="E14" s="52">
        <v>0</v>
      </c>
    </row>
    <row r="15" spans="1:5" x14ac:dyDescent="0.25">
      <c r="A15" s="52">
        <v>1</v>
      </c>
      <c r="B15" s="52">
        <v>14</v>
      </c>
      <c r="C15" s="53">
        <f>nsiv.io!F99</f>
        <v>0.87094645401925663</v>
      </c>
      <c r="D15" s="53">
        <f>nsiv.io!G99</f>
        <v>2.5851365380563773E-2</v>
      </c>
      <c r="E15" s="52">
        <v>0</v>
      </c>
    </row>
    <row r="16" spans="1:5" x14ac:dyDescent="0.25">
      <c r="A16" s="52">
        <v>1</v>
      </c>
      <c r="B16" s="52">
        <v>15</v>
      </c>
      <c r="C16" s="53">
        <f>nsiv.io!F98</f>
        <v>0.86098739727755447</v>
      </c>
      <c r="D16" s="53">
        <f>nsiv.io!G98</f>
        <v>2.7563086831379768E-2</v>
      </c>
      <c r="E16" s="52">
        <v>0</v>
      </c>
    </row>
    <row r="17" spans="1:5" x14ac:dyDescent="0.25">
      <c r="A17" s="52">
        <v>1</v>
      </c>
      <c r="B17" s="52">
        <v>16</v>
      </c>
      <c r="C17" s="53">
        <f>nsiv.io!F97</f>
        <v>0.85102500089053013</v>
      </c>
      <c r="D17" s="53">
        <f>nsiv.io!G97</f>
        <v>2.9250017810602838E-2</v>
      </c>
      <c r="E17" s="52">
        <v>0</v>
      </c>
    </row>
    <row r="18" spans="1:5" x14ac:dyDescent="0.25">
      <c r="A18" s="52">
        <v>1</v>
      </c>
      <c r="B18" s="52">
        <v>17</v>
      </c>
      <c r="C18" s="53">
        <f>nsiv.io!F96</f>
        <v>0.84105931634895703</v>
      </c>
      <c r="D18" s="53">
        <f>nsiv.io!G96</f>
        <v>3.0912278854929677E-2</v>
      </c>
      <c r="E18" s="52">
        <v>0</v>
      </c>
    </row>
    <row r="19" spans="1:5" x14ac:dyDescent="0.25">
      <c r="A19" s="52">
        <v>1</v>
      </c>
      <c r="B19" s="52">
        <v>18</v>
      </c>
      <c r="C19" s="53">
        <f>nsiv.io!F95</f>
        <v>0.83109039377555904</v>
      </c>
      <c r="D19" s="53">
        <f>nsiv.io!G95</f>
        <v>3.2549973080178152E-2</v>
      </c>
      <c r="E19" s="52">
        <v>0</v>
      </c>
    </row>
    <row r="20" spans="1:5" x14ac:dyDescent="0.25">
      <c r="A20" s="52">
        <v>1</v>
      </c>
      <c r="B20" s="52">
        <v>19</v>
      </c>
      <c r="C20" s="53">
        <f>nsiv.io!F94</f>
        <v>0.8211182820156957</v>
      </c>
      <c r="D20" s="53">
        <f>nsiv.io!G94</f>
        <v>3.4163186050622317E-2</v>
      </c>
      <c r="E20" s="52">
        <v>0</v>
      </c>
    </row>
    <row r="21" spans="1:5" x14ac:dyDescent="0.25">
      <c r="A21" s="52">
        <v>1</v>
      </c>
      <c r="B21" s="52">
        <v>20</v>
      </c>
      <c r="C21" s="53">
        <f>nsiv.io!F93</f>
        <v>0.81114302872861777</v>
      </c>
      <c r="D21" s="53">
        <f>nsiv.io!G93</f>
        <v>3.5751985641743159E-2</v>
      </c>
      <c r="E21" s="52">
        <v>0</v>
      </c>
    </row>
    <row r="22" spans="1:5" x14ac:dyDescent="0.25">
      <c r="A22" s="52">
        <v>1</v>
      </c>
      <c r="B22" s="52">
        <v>21</v>
      </c>
      <c r="C22" s="53">
        <f>nsiv.io!F92</f>
        <v>0.80116468047932532</v>
      </c>
      <c r="D22" s="53">
        <f>nsiv.io!G92</f>
        <v>3.7316421895928972E-2</v>
      </c>
      <c r="E22" s="52">
        <v>0</v>
      </c>
    </row>
    <row r="23" spans="1:5" x14ac:dyDescent="0.25">
      <c r="A23" s="52">
        <v>1</v>
      </c>
      <c r="B23" s="52">
        <v>22</v>
      </c>
      <c r="C23" s="53">
        <f>nsiv.io!F91</f>
        <v>0.79118328283106021</v>
      </c>
      <c r="D23" s="53">
        <f>nsiv.io!G91</f>
        <v>3.8856526870620411E-2</v>
      </c>
      <c r="E23" s="52">
        <v>0</v>
      </c>
    </row>
    <row r="24" spans="1:5" x14ac:dyDescent="0.25">
      <c r="A24" s="52">
        <v>1</v>
      </c>
      <c r="B24" s="52">
        <v>23</v>
      </c>
      <c r="C24" s="53">
        <f>nsiv.io!F90</f>
        <v>0.78119888043846886</v>
      </c>
      <c r="D24" s="53">
        <f>nsiv.io!G90</f>
        <v>4.0372314478354494E-2</v>
      </c>
      <c r="E24" s="52">
        <v>0</v>
      </c>
    </row>
    <row r="25" spans="1:5" x14ac:dyDescent="0.25">
      <c r="A25" s="52">
        <v>1</v>
      </c>
      <c r="B25" s="52">
        <v>24</v>
      </c>
      <c r="C25" s="53">
        <f>nsiv.io!F89</f>
        <v>0.77121151714147318</v>
      </c>
      <c r="D25" s="53">
        <f>nsiv.io!G89</f>
        <v>4.1863780318115378E-2</v>
      </c>
      <c r="E25" s="52">
        <v>0</v>
      </c>
    </row>
    <row r="26" spans="1:5" x14ac:dyDescent="0.25">
      <c r="A26" s="52">
        <v>1</v>
      </c>
      <c r="B26" s="52">
        <v>25</v>
      </c>
      <c r="C26" s="53">
        <f>nsiv.io!F88</f>
        <v>0.761221236059894</v>
      </c>
      <c r="D26" s="53">
        <f>nsiv.io!G88</f>
        <v>4.3330901497349597E-2</v>
      </c>
      <c r="E26" s="52">
        <v>0</v>
      </c>
    </row>
    <row r="27" spans="1:5" x14ac:dyDescent="0.25">
      <c r="A27" s="52">
        <v>1</v>
      </c>
      <c r="B27" s="52">
        <v>26</v>
      </c>
      <c r="C27" s="53">
        <f>nsiv.io!F87</f>
        <v>0.75122807968886962</v>
      </c>
      <c r="D27" s="53">
        <f>nsiv.io!G87</f>
        <v>4.4773636443949508E-2</v>
      </c>
      <c r="E27" s="52">
        <v>0</v>
      </c>
    </row>
    <row r="28" spans="1:5" x14ac:dyDescent="0.25">
      <c r="A28" s="52">
        <v>1</v>
      </c>
      <c r="B28" s="52">
        <v>27</v>
      </c>
      <c r="C28" s="53">
        <f>nsiv.io!F86</f>
        <v>0.7412320899951208</v>
      </c>
      <c r="D28" s="53">
        <f>nsiv.io!G86</f>
        <v>4.619192470744532E-2</v>
      </c>
      <c r="E28" s="52">
        <v>0</v>
      </c>
    </row>
    <row r="29" spans="1:5" x14ac:dyDescent="0.25">
      <c r="A29" s="52">
        <v>1</v>
      </c>
      <c r="B29" s="52">
        <v>28</v>
      </c>
      <c r="C29" s="53">
        <f>nsiv.io!F85</f>
        <v>0.73123330851411472</v>
      </c>
      <c r="D29" s="53">
        <f>nsiv.io!G85</f>
        <v>4.758568674858274E-2</v>
      </c>
      <c r="E29" s="52">
        <v>0</v>
      </c>
    </row>
    <row r="30" spans="1:5" x14ac:dyDescent="0.25">
      <c r="A30" s="52">
        <v>1</v>
      </c>
      <c r="B30" s="52">
        <v>29</v>
      </c>
      <c r="C30" s="53">
        <f>nsiv.io!F84</f>
        <v>0.72123177644818748</v>
      </c>
      <c r="D30" s="53">
        <f>nsiv.io!G84</f>
        <v>4.8954823716385688E-2</v>
      </c>
      <c r="E30" s="52">
        <v>0</v>
      </c>
    </row>
    <row r="31" spans="1:5" x14ac:dyDescent="0.25">
      <c r="A31" s="52">
        <v>1</v>
      </c>
      <c r="B31" s="52">
        <v>30</v>
      </c>
      <c r="C31" s="53">
        <f>nsiv.io!F83</f>
        <v>0.71122753476568779</v>
      </c>
      <c r="D31" s="53">
        <f>nsiv.io!G83</f>
        <v>5.0299217211725963E-2</v>
      </c>
      <c r="E31" s="52">
        <v>0</v>
      </c>
    </row>
    <row r="32" spans="1:5" x14ac:dyDescent="0.25">
      <c r="A32" s="52">
        <v>1</v>
      </c>
      <c r="B32" s="52">
        <v>31</v>
      </c>
      <c r="C32" s="53">
        <f>nsiv.io!F82</f>
        <v>0.7012206243012109</v>
      </c>
      <c r="D32" s="53">
        <f>nsiv.io!G82</f>
        <v>5.1618729036327832E-2</v>
      </c>
      <c r="E32" s="52">
        <v>0</v>
      </c>
    </row>
    <row r="33" spans="1:5" x14ac:dyDescent="0.25">
      <c r="A33" s="52">
        <v>1</v>
      </c>
      <c r="B33" s="52">
        <v>32</v>
      </c>
      <c r="C33" s="53">
        <f>nsiv.io!F81</f>
        <v>0.69121108585699942</v>
      </c>
      <c r="D33" s="53">
        <f>nsiv.io!G81</f>
        <v>5.29132009260386E-2</v>
      </c>
      <c r="E33" s="52">
        <v>0</v>
      </c>
    </row>
    <row r="34" spans="1:5" x14ac:dyDescent="0.25">
      <c r="A34" s="52">
        <v>1</v>
      </c>
      <c r="B34" s="52">
        <v>33</v>
      </c>
      <c r="C34" s="53">
        <f>nsiv.io!F80</f>
        <v>0.68119896030559324</v>
      </c>
      <c r="D34" s="53">
        <f>nsiv.io!G80</f>
        <v>5.4182454267084096E-2</v>
      </c>
      <c r="E34" s="52">
        <v>0</v>
      </c>
    </row>
    <row r="35" spans="1:5" x14ac:dyDescent="0.25">
      <c r="A35" s="52">
        <v>1</v>
      </c>
      <c r="B35" s="52">
        <v>34</v>
      </c>
      <c r="C35" s="53">
        <f>nsiv.io!F79</f>
        <v>0.67118428869381719</v>
      </c>
      <c r="D35" s="53">
        <f>nsiv.io!G79</f>
        <v>5.5426289793905265E-2</v>
      </c>
      <c r="E35" s="52">
        <v>0</v>
      </c>
    </row>
    <row r="36" spans="1:5" x14ac:dyDescent="0.25">
      <c r="A36" s="52">
        <v>1</v>
      </c>
      <c r="B36" s="52">
        <v>35</v>
      </c>
      <c r="C36" s="53">
        <f>nsiv.io!F78</f>
        <v>0.66116711234820824</v>
      </c>
      <c r="D36" s="53">
        <f>nsiv.io!G78</f>
        <v>5.6644487267035137E-2</v>
      </c>
      <c r="E36" s="52">
        <v>0</v>
      </c>
    </row>
    <row r="37" spans="1:5" x14ac:dyDescent="0.25">
      <c r="A37" s="52">
        <v>1</v>
      </c>
      <c r="B37" s="52">
        <v>36</v>
      </c>
      <c r="C37" s="53">
        <f>nsiv.io!F77</f>
        <v>0.65114747298198739</v>
      </c>
      <c r="D37" s="53">
        <f>nsiv.io!G77</f>
        <v>5.7836805129323862E-2</v>
      </c>
      <c r="E37" s="52">
        <v>0</v>
      </c>
    </row>
    <row r="38" spans="1:5" x14ac:dyDescent="0.25">
      <c r="A38" s="52">
        <v>1</v>
      </c>
      <c r="B38" s="52">
        <v>37</v>
      </c>
      <c r="C38" s="53">
        <f>nsiv.io!F76</f>
        <v>0.64112541280369728</v>
      </c>
      <c r="D38" s="53">
        <f>nsiv.io!G76</f>
        <v>5.9002980138647798E-2</v>
      </c>
      <c r="E38" s="52">
        <v>0</v>
      </c>
    </row>
    <row r="39" spans="1:5" x14ac:dyDescent="0.25">
      <c r="A39" s="52">
        <v>1</v>
      </c>
      <c r="B39" s="52">
        <v>38</v>
      </c>
      <c r="C39" s="53">
        <f>nsiv.io!F75</f>
        <v>0.63110097462763404</v>
      </c>
      <c r="D39" s="53">
        <f>nsiv.io!G75</f>
        <v>6.0142726975050756E-2</v>
      </c>
      <c r="E39" s="52">
        <v>0</v>
      </c>
    </row>
    <row r="40" spans="1:5" x14ac:dyDescent="0.25">
      <c r="A40" s="52">
        <v>1</v>
      </c>
      <c r="B40" s="52">
        <v>39</v>
      </c>
      <c r="C40" s="53">
        <f>nsiv.io!F74</f>
        <v>0.62107420198621854</v>
      </c>
      <c r="D40" s="53">
        <f>nsiv.io!G74</f>
        <v>6.125573782005056E-2</v>
      </c>
      <c r="E40" s="52">
        <v>0</v>
      </c>
    </row>
    <row r="41" spans="1:5" x14ac:dyDescent="0.25">
      <c r="A41" s="52">
        <v>1</v>
      </c>
      <c r="B41" s="52">
        <v>40</v>
      </c>
      <c r="C41" s="53">
        <f>nsiv.io!F73</f>
        <v>0.61104513924446413</v>
      </c>
      <c r="D41" s="53">
        <f>nsiv.io!G73</f>
        <v>6.2341681905606475E-2</v>
      </c>
      <c r="E41" s="52">
        <v>0</v>
      </c>
    </row>
    <row r="42" spans="1:5" x14ac:dyDescent="0.25">
      <c r="A42" s="52">
        <v>1</v>
      </c>
      <c r="B42" s="52">
        <v>41</v>
      </c>
      <c r="C42" s="53">
        <f>nsiv.io!F72</f>
        <v>0.60101383171671552</v>
      </c>
      <c r="D42" s="53">
        <f>nsiv.io!G72</f>
        <v>6.340020502997562E-2</v>
      </c>
      <c r="E42" s="52">
        <v>0</v>
      </c>
    </row>
    <row r="43" spans="1:5" x14ac:dyDescent="0.25">
      <c r="A43" s="52">
        <v>1</v>
      </c>
      <c r="B43" s="52">
        <v>42</v>
      </c>
      <c r="C43" s="53">
        <f>nsiv.io!F71</f>
        <v>0.59098032578585091</v>
      </c>
      <c r="D43" s="53">
        <f>nsiv.io!G71</f>
        <v>6.4430929037382484E-2</v>
      </c>
      <c r="E43" s="52">
        <v>0</v>
      </c>
    </row>
    <row r="44" spans="1:5" x14ac:dyDescent="0.25">
      <c r="A44" s="52">
        <v>1</v>
      </c>
      <c r="B44" s="52">
        <v>43</v>
      </c>
      <c r="C44" s="53">
        <f>nsiv.io!F70</f>
        <v>0.58094466902516173</v>
      </c>
      <c r="D44" s="53">
        <f>nsiv.io!G70</f>
        <v>6.5433451258088166E-2</v>
      </c>
      <c r="E44" s="52">
        <v>0</v>
      </c>
    </row>
    <row r="45" spans="1:5" x14ac:dyDescent="0.25">
      <c r="A45" s="52">
        <v>1</v>
      </c>
      <c r="B45" s="52">
        <v>44</v>
      </c>
      <c r="C45" s="53">
        <f>nsiv.io!F69</f>
        <v>0.57090691032314489</v>
      </c>
      <c r="D45" s="53">
        <f>nsiv.io!G69</f>
        <v>6.6407343905058674E-2</v>
      </c>
      <c r="E45" s="52">
        <v>0</v>
      </c>
    </row>
    <row r="46" spans="1:5" x14ac:dyDescent="0.25">
      <c r="A46" s="52">
        <v>1</v>
      </c>
      <c r="B46" s="52">
        <v>45</v>
      </c>
      <c r="C46" s="53">
        <f>nsiv.io!F68</f>
        <v>0.56086710001147067</v>
      </c>
      <c r="D46" s="53">
        <f>nsiv.io!G68</f>
        <v>6.7352153422998065E-2</v>
      </c>
      <c r="E46" s="52">
        <v>0</v>
      </c>
    </row>
    <row r="47" spans="1:5" x14ac:dyDescent="0.25">
      <c r="A47" s="52">
        <v>1</v>
      </c>
      <c r="B47" s="52">
        <v>46</v>
      </c>
      <c r="C47" s="53">
        <f>nsiv.io!F67</f>
        <v>0.550825289996417</v>
      </c>
      <c r="D47" s="53">
        <f>nsiv.io!G67</f>
        <v>6.8267399785017377E-2</v>
      </c>
      <c r="E47" s="52">
        <v>0</v>
      </c>
    </row>
    <row r="48" spans="1:5" x14ac:dyDescent="0.25">
      <c r="A48" s="52">
        <v>1</v>
      </c>
      <c r="B48" s="52">
        <v>47</v>
      </c>
      <c r="C48" s="53">
        <f>nsiv.io!F66</f>
        <v>0.54078153389409733</v>
      </c>
      <c r="D48" s="53">
        <f>nsiv.io!G66</f>
        <v>6.9152575731648722E-2</v>
      </c>
      <c r="E48" s="52">
        <v>0</v>
      </c>
    </row>
    <row r="49" spans="1:5" x14ac:dyDescent="0.25">
      <c r="A49" s="52">
        <v>1</v>
      </c>
      <c r="B49" s="52">
        <v>48</v>
      </c>
      <c r="C49" s="53">
        <f>nsiv.io!F65</f>
        <v>0.53073588716984121</v>
      </c>
      <c r="D49" s="53">
        <f>nsiv.io!G65</f>
        <v>7.0007145946273747E-2</v>
      </c>
      <c r="E49" s="52">
        <v>0</v>
      </c>
    </row>
    <row r="50" spans="1:5" x14ac:dyDescent="0.25">
      <c r="A50" s="52">
        <v>1</v>
      </c>
      <c r="B50" s="52">
        <v>49</v>
      </c>
      <c r="C50" s="53">
        <f>nsiv.io!F64</f>
        <v>0.52068840728213739</v>
      </c>
      <c r="D50" s="53">
        <f>nsiv.io!G64</f>
        <v>7.08305461603045E-2</v>
      </c>
      <c r="E50" s="52">
        <v>0</v>
      </c>
    </row>
    <row r="51" spans="1:5" x14ac:dyDescent="0.25">
      <c r="A51" s="52">
        <v>1</v>
      </c>
      <c r="B51" s="52">
        <v>50</v>
      </c>
      <c r="C51" s="53">
        <f>nsiv.io!F63</f>
        <v>0.51063915383159031</v>
      </c>
      <c r="D51" s="53">
        <f>nsiv.io!G63</f>
        <v>7.162218218061725E-2</v>
      </c>
      <c r="E51" s="52">
        <v>0</v>
      </c>
    </row>
    <row r="52" spans="1:5" x14ac:dyDescent="0.25">
      <c r="A52" s="52">
        <v>1</v>
      </c>
      <c r="B52" s="52">
        <v>51</v>
      </c>
      <c r="C52" s="53">
        <f>nsiv.io!F62</f>
        <v>0.50058818871540367</v>
      </c>
      <c r="D52" s="53">
        <f>nsiv.io!G62</f>
        <v>7.2381428830779637E-2</v>
      </c>
      <c r="E52" s="52">
        <v>0</v>
      </c>
    </row>
    <row r="53" spans="1:5" x14ac:dyDescent="0.25">
      <c r="A53" s="52">
        <v>1</v>
      </c>
      <c r="B53" s="52">
        <v>52</v>
      </c>
      <c r="C53" s="53">
        <f>nsiv.io!F61</f>
        <v>0.49053557628796501</v>
      </c>
      <c r="D53" s="53">
        <f>nsiv.io!G61</f>
        <v>7.3107628796503857E-2</v>
      </c>
      <c r="E53" s="52">
        <v>0</v>
      </c>
    </row>
    <row r="54" spans="1:5" x14ac:dyDescent="0.25">
      <c r="A54" s="52">
        <v>1</v>
      </c>
      <c r="B54" s="52">
        <v>53</v>
      </c>
      <c r="C54" s="53">
        <f>nsiv.io!F60</f>
        <v>0.4804813835281781</v>
      </c>
      <c r="D54" s="53">
        <f>nsiv.io!G60</f>
        <v>7.3800091364484607E-2</v>
      </c>
      <c r="E54" s="52">
        <v>0</v>
      </c>
    </row>
    <row r="55" spans="1:5" x14ac:dyDescent="0.25">
      <c r="A55" s="52">
        <v>1</v>
      </c>
      <c r="B55" s="52">
        <v>54</v>
      </c>
      <c r="C55" s="53">
        <f>nsiv.io!F59</f>
        <v>0.47042568021427961</v>
      </c>
      <c r="D55" s="53">
        <f>nsiv.io!G59</f>
        <v>7.4458091042301403E-2</v>
      </c>
      <c r="E55" s="52">
        <v>0</v>
      </c>
    </row>
    <row r="56" spans="1:5" x14ac:dyDescent="0.25">
      <c r="A56" s="52">
        <v>1</v>
      </c>
      <c r="B56" s="52">
        <v>55</v>
      </c>
      <c r="C56" s="53">
        <f>nsiv.io!F58</f>
        <v>0.46036853910696907</v>
      </c>
      <c r="D56" s="53">
        <f>nsiv.io!G58</f>
        <v>7.5080866045352912E-2</v>
      </c>
      <c r="E56" s="52">
        <v>0</v>
      </c>
    </row>
    <row r="57" spans="1:5" x14ac:dyDescent="0.25">
      <c r="A57" s="52">
        <v>1</v>
      </c>
      <c r="B57" s="52">
        <v>56</v>
      </c>
      <c r="C57" s="53">
        <f>nsiv.io!F57</f>
        <v>0.45031003614179826</v>
      </c>
      <c r="D57" s="53">
        <f>nsiv.io!G57</f>
        <v>7.5667616634794904E-2</v>
      </c>
      <c r="E57" s="52">
        <v>0</v>
      </c>
    </row>
    <row r="58" spans="1:5" x14ac:dyDescent="0.25">
      <c r="A58" s="52">
        <v>1</v>
      </c>
      <c r="B58" s="52">
        <v>57</v>
      </c>
      <c r="C58" s="53">
        <f>nsiv.io!F56</f>
        <v>0.44025025063189782</v>
      </c>
      <c r="D58" s="53">
        <f>nsiv.io!G56</f>
        <v>7.6217503288124169E-2</v>
      </c>
      <c r="E58" s="52">
        <v>0</v>
      </c>
    </row>
    <row r="59" spans="1:5" x14ac:dyDescent="0.25">
      <c r="A59" s="52">
        <v>1</v>
      </c>
      <c r="B59" s="52">
        <v>58</v>
      </c>
      <c r="C59" s="53">
        <f>nsiv.io!F55</f>
        <v>0.43018926548227104</v>
      </c>
      <c r="D59" s="53">
        <f>nsiv.io!G55</f>
        <v>7.6729644681321596E-2</v>
      </c>
      <c r="E59" s="52">
        <v>0</v>
      </c>
    </row>
    <row r="60" spans="1:5" x14ac:dyDescent="0.25">
      <c r="A60" s="52">
        <v>1</v>
      </c>
      <c r="B60" s="52">
        <v>59</v>
      </c>
      <c r="C60" s="53">
        <f>nsiv.io!F54</f>
        <v>0.42012716741706774</v>
      </c>
      <c r="D60" s="53">
        <f>nsiv.io!G54</f>
        <v>7.7203115458259752E-2</v>
      </c>
      <c r="E60" s="52">
        <v>0</v>
      </c>
    </row>
    <row r="61" spans="1:5" x14ac:dyDescent="0.25">
      <c r="A61" s="52">
        <v>1</v>
      </c>
      <c r="B61" s="52">
        <v>60</v>
      </c>
      <c r="C61" s="53">
        <f>nsiv.io!F53</f>
        <v>0.41006404722146089</v>
      </c>
      <c r="D61" s="53">
        <f>nsiv.io!G53</f>
        <v>7.7636943759294502E-2</v>
      </c>
      <c r="E61" s="52">
        <v>0</v>
      </c>
    </row>
    <row r="62" spans="1:5" x14ac:dyDescent="0.25">
      <c r="A62" s="52">
        <v>1</v>
      </c>
      <c r="B62" s="52">
        <v>61</v>
      </c>
      <c r="C62" s="53">
        <f>nsiv.io!F52</f>
        <v>0.4</v>
      </c>
      <c r="D62" s="53">
        <f>nsiv.io!G52</f>
        <v>7.8030108476479024E-2</v>
      </c>
      <c r="E62" s="52">
        <v>0</v>
      </c>
    </row>
    <row r="63" spans="1:5" x14ac:dyDescent="0.25">
      <c r="A63" s="52">
        <v>1</v>
      </c>
      <c r="B63" s="52">
        <v>62</v>
      </c>
      <c r="C63" s="53">
        <f>nsiv.io!F51</f>
        <v>0.38985403263666113</v>
      </c>
      <c r="D63" s="53">
        <f>nsiv.io!G51</f>
        <v>7.8374445335549978E-2</v>
      </c>
      <c r="E63" s="52">
        <v>0</v>
      </c>
    </row>
    <row r="64" spans="1:5" x14ac:dyDescent="0.25">
      <c r="A64" s="52">
        <v>1</v>
      </c>
      <c r="B64" s="52">
        <v>63</v>
      </c>
      <c r="C64" s="53">
        <f>nsiv.io!F50</f>
        <v>0.37970644134453579</v>
      </c>
      <c r="D64" s="53">
        <f>nsiv.io!G50</f>
        <v>7.8661731092837472E-2</v>
      </c>
      <c r="E64" s="52">
        <v>0</v>
      </c>
    </row>
    <row r="65" spans="1:5" x14ac:dyDescent="0.25">
      <c r="A65" s="52">
        <v>1</v>
      </c>
      <c r="B65" s="52">
        <v>64</v>
      </c>
      <c r="C65" s="53">
        <f>nsiv.io!F49</f>
        <v>0.36955747545278489</v>
      </c>
      <c r="D65" s="53">
        <f>nsiv.io!G49</f>
        <v>7.8890772962016006E-2</v>
      </c>
      <c r="E65" s="52">
        <v>0</v>
      </c>
    </row>
    <row r="66" spans="1:5" x14ac:dyDescent="0.25">
      <c r="A66" s="52">
        <v>1</v>
      </c>
      <c r="B66" s="52">
        <v>65</v>
      </c>
      <c r="C66" s="53">
        <f>nsiv.io!F48</f>
        <v>0.35940739684605699</v>
      </c>
      <c r="D66" s="53">
        <f>nsiv.io!G48</f>
        <v>7.9060315394301986E-2</v>
      </c>
      <c r="E66" s="52">
        <v>0</v>
      </c>
    </row>
    <row r="67" spans="1:5" x14ac:dyDescent="0.25">
      <c r="A67" s="52">
        <v>1</v>
      </c>
      <c r="B67" s="52">
        <v>66</v>
      </c>
      <c r="C67" s="53">
        <f>nsiv.io!F47</f>
        <v>0.34925648080852872</v>
      </c>
      <c r="D67" s="53">
        <f>nsiv.io!G47</f>
        <v>7.9169035317698894E-2</v>
      </c>
      <c r="E67" s="52">
        <v>0</v>
      </c>
    </row>
    <row r="68" spans="1:5" x14ac:dyDescent="0.25">
      <c r="A68" s="52">
        <v>1</v>
      </c>
      <c r="B68" s="52">
        <v>67</v>
      </c>
      <c r="C68" s="53">
        <f>nsiv.io!F46</f>
        <v>0.33910501694866874</v>
      </c>
      <c r="D68" s="53">
        <f>nsiv.io!G46</f>
        <v>7.9215536755417718E-2</v>
      </c>
      <c r="E68" s="52">
        <v>0</v>
      </c>
    </row>
    <row r="69" spans="1:5" x14ac:dyDescent="0.25">
      <c r="A69" s="52">
        <v>1</v>
      </c>
      <c r="B69" s="52">
        <v>68</v>
      </c>
      <c r="C69" s="53">
        <f>nsiv.io!F45</f>
        <v>0.32895331021736635</v>
      </c>
      <c r="D69" s="53">
        <f>nsiv.io!G45</f>
        <v>7.9198344721923428E-2</v>
      </c>
      <c r="E69" s="52">
        <v>0</v>
      </c>
    </row>
    <row r="70" spans="1:5" x14ac:dyDescent="0.25">
      <c r="A70" s="52">
        <v>1</v>
      </c>
      <c r="B70" s="52">
        <v>69</v>
      </c>
      <c r="C70" s="53">
        <f>nsiv.io!F44</f>
        <v>0.31880168203450238</v>
      </c>
      <c r="D70" s="53">
        <f>nsiv.io!G44</f>
        <v>7.9115898274880636E-2</v>
      </c>
      <c r="E70" s="52">
        <v>0</v>
      </c>
    </row>
    <row r="71" spans="1:5" x14ac:dyDescent="0.25">
      <c r="A71" s="52">
        <v>1</v>
      </c>
      <c r="B71" s="52">
        <v>70</v>
      </c>
      <c r="C71" s="53">
        <f>nsiv.io!F43</f>
        <v>0.30865047154203296</v>
      </c>
      <c r="D71" s="53">
        <f>nsiv.io!G43</f>
        <v>7.8966542576312235E-2</v>
      </c>
      <c r="E71" s="52">
        <v>0</v>
      </c>
    </row>
    <row r="72" spans="1:5" x14ac:dyDescent="0.25">
      <c r="A72" s="52">
        <v>1</v>
      </c>
      <c r="B72" s="52">
        <v>71</v>
      </c>
      <c r="C72" s="53">
        <f>nsiv.io!F42</f>
        <v>0.29850003700536903</v>
      </c>
      <c r="D72" s="53">
        <f>nsiv.io!G42</f>
        <v>7.8748519785237475E-2</v>
      </c>
      <c r="E72" s="52">
        <v>0</v>
      </c>
    </row>
    <row r="73" spans="1:5" x14ac:dyDescent="0.25">
      <c r="A73" s="52">
        <v>1</v>
      </c>
      <c r="B73" s="52">
        <v>72</v>
      </c>
      <c r="C73" s="53">
        <f>nsiv.io!F41</f>
        <v>0.28835075738945792</v>
      </c>
      <c r="D73" s="53">
        <f>nsiv.io!G41</f>
        <v>7.8459958565165244E-2</v>
      </c>
      <c r="E73" s="52">
        <v>0</v>
      </c>
    </row>
    <row r="74" spans="1:5" x14ac:dyDescent="0.25">
      <c r="A74" s="52">
        <v>1</v>
      </c>
      <c r="B74" s="52">
        <v>73</v>
      </c>
      <c r="C74" s="53">
        <f>nsiv.io!F40</f>
        <v>0.27820303414177699</v>
      </c>
      <c r="D74" s="53">
        <f>nsiv.io!G40</f>
        <v>7.8098861940768052E-2</v>
      </c>
      <c r="E74" s="52">
        <v>0</v>
      </c>
    </row>
    <row r="75" spans="1:5" x14ac:dyDescent="0.25">
      <c r="A75" s="52">
        <v>1</v>
      </c>
      <c r="B75" s="52">
        <v>74</v>
      </c>
      <c r="C75" s="53">
        <f>nsiv.io!F39</f>
        <v>0.26805729322178862</v>
      </c>
      <c r="D75" s="53">
        <f>nsiv.io!G39</f>
        <v>7.7663093175735512E-2</v>
      </c>
      <c r="E75" s="52">
        <v>0</v>
      </c>
    </row>
    <row r="76" spans="1:5" x14ac:dyDescent="0.25">
      <c r="A76" s="52">
        <v>1</v>
      </c>
      <c r="B76" s="52">
        <v>75</v>
      </c>
      <c r="C76" s="53">
        <f>nsiv.io!F38</f>
        <v>0.25791398742576094</v>
      </c>
      <c r="D76" s="53">
        <f>nsiv.io!G38</f>
        <v>7.7150359263973969E-2</v>
      </c>
      <c r="E76" s="52">
        <v>0</v>
      </c>
    </row>
    <row r="77" spans="1:5" x14ac:dyDescent="0.25">
      <c r="A77" s="52">
        <v>1</v>
      </c>
      <c r="B77" s="52">
        <v>76</v>
      </c>
      <c r="C77" s="53">
        <f>nsiv.io!F37</f>
        <v>0.24777359906788016</v>
      </c>
      <c r="D77" s="53">
        <f>nsiv.io!G37</f>
        <v>7.6558191523195457E-2</v>
      </c>
      <c r="E77" s="52">
        <v>0</v>
      </c>
    </row>
    <row r="78" spans="1:5" x14ac:dyDescent="0.25">
      <c r="A78" s="52">
        <v>1</v>
      </c>
      <c r="B78" s="52">
        <v>77</v>
      </c>
      <c r="C78" s="53">
        <f>nsiv.io!F36</f>
        <v>0.2376366430941797</v>
      </c>
      <c r="D78" s="53">
        <f>nsiv.io!G36</f>
        <v>7.5883922645507529E-2</v>
      </c>
      <c r="E78" s="52">
        <v>0</v>
      </c>
    </row>
    <row r="79" spans="1:5" x14ac:dyDescent="0.25">
      <c r="A79" s="52">
        <v>1</v>
      </c>
      <c r="B79" s="52">
        <v>78</v>
      </c>
      <c r="C79" s="53">
        <f>nsiv.io!F35</f>
        <v>0.22750367072623734</v>
      </c>
      <c r="D79" s="53">
        <f>nsiv.io!G35</f>
        <v>7.5124659382650852E-2</v>
      </c>
      <c r="E79" s="52">
        <v>0</v>
      </c>
    </row>
    <row r="80" spans="1:5" x14ac:dyDescent="0.25">
      <c r="A80" s="52">
        <v>1</v>
      </c>
      <c r="B80" s="52">
        <v>79</v>
      </c>
      <c r="C80" s="53">
        <f>nsiv.io!F34</f>
        <v>0.21737527375863536</v>
      </c>
      <c r="D80" s="53">
        <f>nsiv.io!G34</f>
        <v>7.427724980810349E-2</v>
      </c>
      <c r="E80" s="52">
        <v>0</v>
      </c>
    </row>
    <row r="81" spans="1:5" x14ac:dyDescent="0.25">
      <c r="A81" s="52">
        <v>1</v>
      </c>
      <c r="B81" s="52">
        <v>80</v>
      </c>
      <c r="C81" s="53">
        <f>nsiv.io!F33</f>
        <v>0.20725208967037959</v>
      </c>
      <c r="D81" s="53">
        <f>nsiv.io!G33</f>
        <v>7.3338243781482182E-2</v>
      </c>
      <c r="E81" s="52">
        <v>0</v>
      </c>
    </row>
    <row r="82" spans="1:5" x14ac:dyDescent="0.25">
      <c r="A82" s="52">
        <v>1</v>
      </c>
      <c r="B82" s="52">
        <v>81</v>
      </c>
      <c r="C82" s="53">
        <f>nsiv.io!F32</f>
        <v>0.1971348077595447</v>
      </c>
      <c r="D82" s="53">
        <f>nsiv.io!G32</f>
        <v>7.2303844809106371E-2</v>
      </c>
      <c r="E82" s="52">
        <v>0</v>
      </c>
    </row>
    <row r="83" spans="1:5" x14ac:dyDescent="0.25">
      <c r="A83" s="52">
        <v>1</v>
      </c>
      <c r="B83" s="52">
        <v>82</v>
      </c>
      <c r="C83" s="53">
        <f>nsiv.io!F31</f>
        <v>0.18702417657781731</v>
      </c>
      <c r="D83" s="53">
        <f>nsiv.io!G31</f>
        <v>7.1169850898717912E-2</v>
      </c>
      <c r="E83" s="52">
        <v>0</v>
      </c>
    </row>
    <row r="84" spans="1:5" x14ac:dyDescent="0.25">
      <c r="A84" s="52">
        <v>1</v>
      </c>
      <c r="B84" s="52">
        <v>83</v>
      </c>
      <c r="C84" s="53">
        <f>nsiv.io!F30</f>
        <v>0.17692101303556967</v>
      </c>
      <c r="D84" s="53">
        <f>nsiv.io!G30</f>
        <v>6.9931581171460463E-2</v>
      </c>
      <c r="E84" s="52">
        <v>0</v>
      </c>
    </row>
    <row r="85" spans="1:5" x14ac:dyDescent="0.25">
      <c r="A85" s="52">
        <v>1</v>
      </c>
      <c r="B85" s="52">
        <v>84</v>
      </c>
      <c r="C85" s="53">
        <f>nsiv.io!F29</f>
        <v>0.16682621368118486</v>
      </c>
      <c r="D85" s="53">
        <f>nsiv.io!G29</f>
        <v>6.8583783805480747E-2</v>
      </c>
      <c r="E85" s="52">
        <v>0</v>
      </c>
    </row>
    <row r="86" spans="1:5" x14ac:dyDescent="0.25">
      <c r="A86" s="52">
        <v>1</v>
      </c>
      <c r="B86" s="52">
        <v>85</v>
      </c>
      <c r="C86" s="53">
        <f>nsiv.io!F28</f>
        <v>0.15674076885023769</v>
      </c>
      <c r="D86" s="53">
        <f>nsiv.io!G28</f>
        <v>6.7120519162705033E-2</v>
      </c>
      <c r="E86" s="52">
        <v>0</v>
      </c>
    </row>
    <row r="87" spans="1:5" x14ac:dyDescent="0.25">
      <c r="A87" s="52">
        <v>1</v>
      </c>
      <c r="B87" s="52">
        <v>86</v>
      </c>
      <c r="C87" s="53">
        <f>nsiv.io!F27</f>
        <v>0.14666578066224487</v>
      </c>
      <c r="D87" s="53">
        <f>nsiv.io!G27</f>
        <v>6.5535009404082106E-2</v>
      </c>
      <c r="E87" s="52">
        <v>0</v>
      </c>
    </row>
    <row r="88" spans="1:5" x14ac:dyDescent="0.25">
      <c r="A88" s="52">
        <v>1</v>
      </c>
      <c r="B88" s="52">
        <v>87</v>
      </c>
      <c r="C88" s="53">
        <f>nsiv.io!F26</f>
        <v>0.13660248626660706</v>
      </c>
      <c r="D88" s="53">
        <f>nsiv.io!G26</f>
        <v>6.3819442052199082E-2</v>
      </c>
      <c r="E88" s="52">
        <v>0</v>
      </c>
    </row>
    <row r="89" spans="1:5" x14ac:dyDescent="0.25">
      <c r="A89" s="52">
        <v>1</v>
      </c>
      <c r="B89" s="52">
        <v>88</v>
      </c>
      <c r="C89" s="53">
        <f>nsiv.io!F25</f>
        <v>0.12655228839210336</v>
      </c>
      <c r="D89" s="53">
        <f>nsiv.io!G25</f>
        <v>6.1964709005876098E-2</v>
      </c>
      <c r="E89" s="52">
        <v>0</v>
      </c>
    </row>
    <row r="90" spans="1:5" x14ac:dyDescent="0.25">
      <c r="A90" s="52">
        <v>1</v>
      </c>
      <c r="B90" s="52">
        <v>89</v>
      </c>
      <c r="C90" s="53">
        <f>nsiv.io!F24</f>
        <v>0.11651679628750004</v>
      </c>
      <c r="D90" s="53">
        <f>nsiv.io!G24</f>
        <v>5.9960053035713556E-2</v>
      </c>
      <c r="E90" s="52">
        <v>0</v>
      </c>
    </row>
    <row r="91" spans="1:5" x14ac:dyDescent="0.25">
      <c r="A91" s="52">
        <v>1</v>
      </c>
      <c r="B91" s="52">
        <v>90</v>
      </c>
      <c r="C91" s="53">
        <f>nsiv.io!F23</f>
        <v>0.1064978818284515</v>
      </c>
      <c r="D91" s="53">
        <f>nsiv.io!G23</f>
        <v>5.779257822825519E-2</v>
      </c>
      <c r="E91" s="52">
        <v>0</v>
      </c>
    </row>
    <row r="92" spans="1:5" x14ac:dyDescent="0.25">
      <c r="A92" s="52">
        <v>1</v>
      </c>
      <c r="B92" s="52">
        <v>91</v>
      </c>
      <c r="C92" s="53">
        <f>nsiv.io!F22</f>
        <v>9.6497758423747512E-2</v>
      </c>
      <c r="D92" s="53">
        <f>nsiv.io!G22</f>
        <v>5.5446554350033185E-2</v>
      </c>
      <c r="E92" s="52">
        <v>0</v>
      </c>
    </row>
    <row r="93" spans="1:5" x14ac:dyDescent="0.25">
      <c r="A93" s="52">
        <v>1</v>
      </c>
      <c r="B93" s="52">
        <v>92</v>
      </c>
      <c r="C93" s="53">
        <f>nsiv.io!F21</f>
        <v>8.6519095401112855E-2</v>
      </c>
      <c r="D93" s="53">
        <f>nsiv.io!G21</f>
        <v>5.2902398050156632E-2</v>
      </c>
      <c r="E93" s="52">
        <v>0</v>
      </c>
    </row>
    <row r="94" spans="1:5" x14ac:dyDescent="0.25">
      <c r="A94" s="52">
        <v>1</v>
      </c>
      <c r="B94" s="52">
        <v>93</v>
      </c>
      <c r="C94" s="53">
        <f>nsiv.io!F20</f>
        <v>7.656518991838708E-2</v>
      </c>
      <c r="D94" s="53">
        <f>nsiv.io!G20</f>
        <v>5.0135126020161472E-2</v>
      </c>
      <c r="E94" s="52">
        <v>0</v>
      </c>
    </row>
    <row r="95" spans="1:5" x14ac:dyDescent="0.25">
      <c r="A95" s="52">
        <v>1</v>
      </c>
      <c r="B95" s="52">
        <v>94</v>
      </c>
      <c r="C95" s="53">
        <f>nsiv.io!F19</f>
        <v>6.6640236886259613E-2</v>
      </c>
      <c r="D95" s="53">
        <f>nsiv.io!G19</f>
        <v>4.7111901378671377E-2</v>
      </c>
      <c r="E95" s="52">
        <v>0</v>
      </c>
    </row>
    <row r="96" spans="1:5" x14ac:dyDescent="0.25">
      <c r="A96" s="52">
        <v>1</v>
      </c>
      <c r="B96" s="52">
        <v>95</v>
      </c>
      <c r="C96" s="53">
        <f>nsiv.io!F18</f>
        <v>5.6749776425983077E-2</v>
      </c>
      <c r="D96" s="53">
        <f>nsiv.io!G18</f>
        <v>4.3787924400199074E-2</v>
      </c>
      <c r="E96" s="52">
        <v>0</v>
      </c>
    </row>
    <row r="97" spans="1:5" x14ac:dyDescent="0.25">
      <c r="A97" s="52">
        <v>1</v>
      </c>
      <c r="B97" s="52">
        <v>96</v>
      </c>
      <c r="C97" s="53">
        <f>nsiv.io!F17</f>
        <v>4.6901488898389639E-2</v>
      </c>
      <c r="D97" s="53">
        <f>nsiv.io!G17</f>
        <v>4.0099055446975583E-2</v>
      </c>
      <c r="E97" s="52">
        <v>0</v>
      </c>
    </row>
    <row r="98" spans="1:5" x14ac:dyDescent="0.25">
      <c r="A98" s="52">
        <v>1</v>
      </c>
      <c r="B98" s="52">
        <v>97</v>
      </c>
      <c r="C98" s="53">
        <f>nsiv.io!F16</f>
        <v>3.7106743785527009E-2</v>
      </c>
      <c r="D98" s="53">
        <f>nsiv.io!G16</f>
        <v>3.5947291271922116E-2</v>
      </c>
      <c r="E98" s="52">
        <v>0</v>
      </c>
    </row>
    <row r="99" spans="1:5" x14ac:dyDescent="0.25">
      <c r="A99" s="52">
        <v>1</v>
      </c>
      <c r="B99" s="52">
        <v>98</v>
      </c>
      <c r="C99" s="53">
        <f>nsiv.io!F15</f>
        <v>2.7384033891633981E-2</v>
      </c>
      <c r="D99" s="53">
        <f>nsiv.io!G15</f>
        <v>3.1168214685038054E-2</v>
      </c>
      <c r="E99" s="52">
        <v>0</v>
      </c>
    </row>
    <row r="100" spans="1:5" x14ac:dyDescent="0.25">
      <c r="A100" s="52">
        <v>1</v>
      </c>
      <c r="B100" s="52">
        <v>99</v>
      </c>
      <c r="C100" s="53">
        <f>nsiv.io!F14</f>
        <v>1.7768259834246843E-2</v>
      </c>
      <c r="D100" s="53">
        <f>nsiv.io!G14</f>
        <v>2.5442001744770088E-2</v>
      </c>
      <c r="E100" s="52">
        <v>0</v>
      </c>
    </row>
    <row r="101" spans="1:5" x14ac:dyDescent="0.25">
      <c r="A101" s="52">
        <v>1</v>
      </c>
      <c r="B101" s="52">
        <v>100</v>
      </c>
      <c r="C101" s="53">
        <f>nsiv.io!F13</f>
        <v>8.3467249236099817E-3</v>
      </c>
      <c r="D101" s="53">
        <f>nsiv.io!G13</f>
        <v>1.7944167450154029E-2</v>
      </c>
      <c r="E101" s="52">
        <v>0</v>
      </c>
    </row>
    <row r="102" spans="1:5" x14ac:dyDescent="0.25">
      <c r="A102" s="52">
        <v>1</v>
      </c>
      <c r="B102" s="52">
        <v>101</v>
      </c>
      <c r="C102" s="53">
        <f>nsiv.io!F12</f>
        <v>0</v>
      </c>
      <c r="D102" s="53">
        <f>nsiv.io!G12</f>
        <v>0</v>
      </c>
      <c r="E102" s="52">
        <v>0</v>
      </c>
    </row>
    <row r="103" spans="1:5" x14ac:dyDescent="0.25">
      <c r="A103" s="52">
        <v>1</v>
      </c>
      <c r="B103" s="52">
        <v>102</v>
      </c>
      <c r="C103" s="53">
        <f>nsiv.io!H13</f>
        <v>1.1653275076390019E-2</v>
      </c>
      <c r="D103" s="53">
        <f>nsiv.io!I13</f>
        <v>-1.5969167450154031E-2</v>
      </c>
      <c r="E103" s="52">
        <v>0</v>
      </c>
    </row>
    <row r="104" spans="1:5" x14ac:dyDescent="0.25">
      <c r="A104" s="52">
        <v>1</v>
      </c>
      <c r="B104" s="52">
        <v>103</v>
      </c>
      <c r="C104" s="53">
        <f>nsiv.io!H14</f>
        <v>2.2231740165753158E-2</v>
      </c>
      <c r="D104" s="53">
        <f>nsiv.io!I14</f>
        <v>-2.1542001744770087E-2</v>
      </c>
      <c r="E104" s="52">
        <v>0</v>
      </c>
    </row>
    <row r="105" spans="1:5" x14ac:dyDescent="0.25">
      <c r="A105" s="52">
        <v>1</v>
      </c>
      <c r="B105" s="52">
        <v>104</v>
      </c>
      <c r="C105" s="53">
        <f>nsiv.io!H15</f>
        <v>3.2615966108366021E-2</v>
      </c>
      <c r="D105" s="53">
        <f>nsiv.io!I15</f>
        <v>-2.5393214685038058E-2</v>
      </c>
      <c r="E105" s="52">
        <v>0</v>
      </c>
    </row>
    <row r="106" spans="1:5" x14ac:dyDescent="0.25">
      <c r="A106" s="52">
        <v>1</v>
      </c>
      <c r="B106" s="52">
        <v>105</v>
      </c>
      <c r="C106" s="53">
        <f>nsiv.io!H16</f>
        <v>4.2893256214472993E-2</v>
      </c>
      <c r="D106" s="53">
        <f>nsiv.io!I16</f>
        <v>-2.834729127192212E-2</v>
      </c>
      <c r="E106" s="52">
        <v>0</v>
      </c>
    </row>
    <row r="107" spans="1:5" x14ac:dyDescent="0.25">
      <c r="A107" s="52">
        <v>1</v>
      </c>
      <c r="B107" s="52">
        <v>106</v>
      </c>
      <c r="C107" s="53">
        <f>nsiv.io!H17</f>
        <v>5.3098511101610367E-2</v>
      </c>
      <c r="D107" s="53">
        <f>nsiv.io!I17</f>
        <v>-3.0724055446975585E-2</v>
      </c>
      <c r="E107" s="52">
        <v>0</v>
      </c>
    </row>
    <row r="108" spans="1:5" x14ac:dyDescent="0.25">
      <c r="A108" s="52">
        <v>1</v>
      </c>
      <c r="B108" s="52">
        <v>107</v>
      </c>
      <c r="C108" s="53">
        <f>nsiv.io!H18</f>
        <v>6.3250223574016926E-2</v>
      </c>
      <c r="D108" s="53">
        <f>nsiv.io!I18</f>
        <v>-3.2687924400199075E-2</v>
      </c>
      <c r="E108" s="52">
        <v>0</v>
      </c>
    </row>
    <row r="109" spans="1:5" x14ac:dyDescent="0.25">
      <c r="A109" s="52">
        <v>1</v>
      </c>
      <c r="B109" s="52">
        <v>108</v>
      </c>
      <c r="C109" s="53">
        <f>nsiv.io!H19</f>
        <v>7.33597631137404E-2</v>
      </c>
      <c r="D109" s="53">
        <f>nsiv.io!I19</f>
        <v>-3.4336901378671382E-2</v>
      </c>
      <c r="E109" s="52">
        <v>0</v>
      </c>
    </row>
    <row r="110" spans="1:5" x14ac:dyDescent="0.25">
      <c r="A110" s="52">
        <v>1</v>
      </c>
      <c r="B110" s="52">
        <v>109</v>
      </c>
      <c r="C110" s="53">
        <f>nsiv.io!H20</f>
        <v>8.3434810081612923E-2</v>
      </c>
      <c r="D110" s="53">
        <f>nsiv.io!I20</f>
        <v>-3.5735126020161476E-2</v>
      </c>
      <c r="E110" s="52">
        <v>0</v>
      </c>
    </row>
    <row r="111" spans="1:5" x14ac:dyDescent="0.25">
      <c r="A111" s="52">
        <v>1</v>
      </c>
      <c r="B111" s="52">
        <v>110</v>
      </c>
      <c r="C111" s="53">
        <f>nsiv.io!H21</f>
        <v>9.3480904598887138E-2</v>
      </c>
      <c r="D111" s="53">
        <f>nsiv.io!I21</f>
        <v>-3.6927398050156643E-2</v>
      </c>
      <c r="E111" s="52">
        <v>0</v>
      </c>
    </row>
    <row r="112" spans="1:5" x14ac:dyDescent="0.25">
      <c r="A112" s="52">
        <v>1</v>
      </c>
      <c r="B112" s="52">
        <v>111</v>
      </c>
      <c r="C112" s="53">
        <f>nsiv.io!H22</f>
        <v>0.1035022415762525</v>
      </c>
      <c r="D112" s="53">
        <f>nsiv.io!I22</f>
        <v>-3.7946554350033183E-2</v>
      </c>
      <c r="E112" s="52">
        <v>0</v>
      </c>
    </row>
    <row r="113" spans="1:5" x14ac:dyDescent="0.25">
      <c r="A113" s="52">
        <v>1</v>
      </c>
      <c r="B113" s="52">
        <v>112</v>
      </c>
      <c r="C113" s="53">
        <f>nsiv.io!H23</f>
        <v>0.1135021181715485</v>
      </c>
      <c r="D113" s="53">
        <f>nsiv.io!I23</f>
        <v>-3.8817578228255184E-2</v>
      </c>
      <c r="E113" s="52">
        <v>0</v>
      </c>
    </row>
    <row r="114" spans="1:5" x14ac:dyDescent="0.25">
      <c r="A114" s="52">
        <v>1</v>
      </c>
      <c r="B114" s="52">
        <v>113</v>
      </c>
      <c r="C114" s="53">
        <f>nsiv.io!H24</f>
        <v>0.12348320371249995</v>
      </c>
      <c r="D114" s="53">
        <f>nsiv.io!I24</f>
        <v>-3.9560053035713555E-2</v>
      </c>
      <c r="E114" s="52">
        <v>0</v>
      </c>
    </row>
    <row r="115" spans="1:5" x14ac:dyDescent="0.25">
      <c r="A115" s="52">
        <v>1</v>
      </c>
      <c r="B115" s="52">
        <v>114</v>
      </c>
      <c r="C115" s="53">
        <f>nsiv.io!H25</f>
        <v>0.13344771160789665</v>
      </c>
      <c r="D115" s="53">
        <f>nsiv.io!I25</f>
        <v>-4.0189709005876095E-2</v>
      </c>
      <c r="E115" s="52">
        <v>0</v>
      </c>
    </row>
    <row r="116" spans="1:5" x14ac:dyDescent="0.25">
      <c r="A116" s="52">
        <v>1</v>
      </c>
      <c r="B116" s="52">
        <v>115</v>
      </c>
      <c r="C116" s="53">
        <f>nsiv.io!H26</f>
        <v>0.14339751373339296</v>
      </c>
      <c r="D116" s="53">
        <f>nsiv.io!I26</f>
        <v>-4.071944205219908E-2</v>
      </c>
      <c r="E116" s="52">
        <v>0</v>
      </c>
    </row>
    <row r="117" spans="1:5" x14ac:dyDescent="0.25">
      <c r="A117" s="52">
        <v>1</v>
      </c>
      <c r="B117" s="52">
        <v>116</v>
      </c>
      <c r="C117" s="53">
        <f>nsiv.io!H27</f>
        <v>0.15333421933775512</v>
      </c>
      <c r="D117" s="53">
        <f>nsiv.io!I27</f>
        <v>-4.1160009404082105E-2</v>
      </c>
      <c r="E117" s="52">
        <v>0</v>
      </c>
    </row>
    <row r="118" spans="1:5" x14ac:dyDescent="0.25">
      <c r="A118" s="52">
        <v>1</v>
      </c>
      <c r="B118" s="52">
        <v>117</v>
      </c>
      <c r="C118" s="53">
        <f>nsiv.io!H28</f>
        <v>0.16325923114976232</v>
      </c>
      <c r="D118" s="53">
        <f>nsiv.io!I28</f>
        <v>-4.1520519162705043E-2</v>
      </c>
      <c r="E118" s="52">
        <v>0</v>
      </c>
    </row>
    <row r="119" spans="1:5" x14ac:dyDescent="0.25">
      <c r="A119" s="52">
        <v>1</v>
      </c>
      <c r="B119" s="52">
        <v>118</v>
      </c>
      <c r="C119" s="53">
        <f>nsiv.io!H29</f>
        <v>0.17317378631881516</v>
      </c>
      <c r="D119" s="53">
        <f>nsiv.io!I29</f>
        <v>-4.1808783805480754E-2</v>
      </c>
      <c r="E119" s="52">
        <v>0</v>
      </c>
    </row>
    <row r="120" spans="1:5" x14ac:dyDescent="0.25">
      <c r="A120" s="52">
        <v>1</v>
      </c>
      <c r="B120" s="52">
        <v>119</v>
      </c>
      <c r="C120" s="53">
        <f>nsiv.io!H30</f>
        <v>0.18307898696443031</v>
      </c>
      <c r="D120" s="53">
        <f>nsiv.io!I30</f>
        <v>-4.2031581171460476E-2</v>
      </c>
      <c r="E120" s="52">
        <v>0</v>
      </c>
    </row>
    <row r="121" spans="1:5" x14ac:dyDescent="0.25">
      <c r="A121" s="52">
        <v>1</v>
      </c>
      <c r="B121" s="52">
        <v>120</v>
      </c>
      <c r="C121" s="53">
        <f>nsiv.io!H31</f>
        <v>0.1929758234221827</v>
      </c>
      <c r="D121" s="53">
        <f>nsiv.io!I31</f>
        <v>-4.2194850898717912E-2</v>
      </c>
      <c r="E121" s="52">
        <v>0</v>
      </c>
    </row>
    <row r="122" spans="1:5" x14ac:dyDescent="0.25">
      <c r="A122" s="52">
        <v>1</v>
      </c>
      <c r="B122" s="52">
        <v>121</v>
      </c>
      <c r="C122" s="53">
        <f>nsiv.io!H32</f>
        <v>0.20286519224045532</v>
      </c>
      <c r="D122" s="53">
        <f>nsiv.io!I32</f>
        <v>-4.2303844809106372E-2</v>
      </c>
      <c r="E122" s="52">
        <v>0</v>
      </c>
    </row>
    <row r="123" spans="1:5" x14ac:dyDescent="0.25">
      <c r="A123" s="52">
        <v>1</v>
      </c>
      <c r="B123" s="52">
        <v>122</v>
      </c>
      <c r="C123" s="53">
        <f>nsiv.io!H33</f>
        <v>0.2127479103296204</v>
      </c>
      <c r="D123" s="53">
        <f>nsiv.io!I33</f>
        <v>-4.2363243781482193E-2</v>
      </c>
      <c r="E123" s="52">
        <v>0</v>
      </c>
    </row>
    <row r="124" spans="1:5" x14ac:dyDescent="0.25">
      <c r="A124" s="52">
        <v>1</v>
      </c>
      <c r="B124" s="52">
        <v>123</v>
      </c>
      <c r="C124" s="53">
        <f>nsiv.io!H34</f>
        <v>0.22262472624136465</v>
      </c>
      <c r="D124" s="53">
        <f>nsiv.io!I34</f>
        <v>-4.2377249808103493E-2</v>
      </c>
      <c r="E124" s="52">
        <v>0</v>
      </c>
    </row>
    <row r="125" spans="1:5" x14ac:dyDescent="0.25">
      <c r="A125" s="52">
        <v>1</v>
      </c>
      <c r="B125" s="52">
        <v>124</v>
      </c>
      <c r="C125" s="53">
        <f>nsiv.io!H35</f>
        <v>0.23249632927376268</v>
      </c>
      <c r="D125" s="53">
        <f>nsiv.io!I35</f>
        <v>-4.2349659382650853E-2</v>
      </c>
      <c r="E125" s="52">
        <v>0</v>
      </c>
    </row>
    <row r="126" spans="1:5" x14ac:dyDescent="0.25">
      <c r="A126" s="52">
        <v>1</v>
      </c>
      <c r="B126" s="52">
        <v>125</v>
      </c>
      <c r="C126" s="53">
        <f>nsiv.io!H36</f>
        <v>0.24236335690582028</v>
      </c>
      <c r="D126" s="53">
        <f>nsiv.io!I36</f>
        <v>-4.2283922645507524E-2</v>
      </c>
      <c r="E126" s="52">
        <v>0</v>
      </c>
    </row>
    <row r="127" spans="1:5" x14ac:dyDescent="0.25">
      <c r="A127" s="52">
        <v>1</v>
      </c>
      <c r="B127" s="52">
        <v>126</v>
      </c>
      <c r="C127" s="53">
        <f>nsiv.io!H37</f>
        <v>0.25222640093211984</v>
      </c>
      <c r="D127" s="53">
        <f>nsiv.io!I37</f>
        <v>-4.2183191523195468E-2</v>
      </c>
      <c r="E127" s="52">
        <v>0</v>
      </c>
    </row>
    <row r="128" spans="1:5" x14ac:dyDescent="0.25">
      <c r="A128" s="52">
        <v>1</v>
      </c>
      <c r="B128" s="52">
        <v>127</v>
      </c>
      <c r="C128" s="53">
        <f>nsiv.io!H38</f>
        <v>0.26208601257423908</v>
      </c>
      <c r="D128" s="53">
        <f>nsiv.io!I38</f>
        <v>-4.2050359263973977E-2</v>
      </c>
      <c r="E128" s="52">
        <v>0</v>
      </c>
    </row>
    <row r="129" spans="1:5" x14ac:dyDescent="0.25">
      <c r="A129" s="52">
        <v>1</v>
      </c>
      <c r="B129" s="52">
        <v>128</v>
      </c>
      <c r="C129" s="53">
        <f>nsiv.io!H39</f>
        <v>0.27194270677821142</v>
      </c>
      <c r="D129" s="53">
        <f>nsiv.io!I39</f>
        <v>-4.1888093175735511E-2</v>
      </c>
      <c r="E129" s="52">
        <v>0</v>
      </c>
    </row>
    <row r="130" spans="1:5" x14ac:dyDescent="0.25">
      <c r="A130" s="52">
        <v>1</v>
      </c>
      <c r="B130" s="52">
        <v>129</v>
      </c>
      <c r="C130" s="53">
        <f>nsiv.io!H40</f>
        <v>0.28179696585822306</v>
      </c>
      <c r="D130" s="53">
        <f>nsiv.io!I40</f>
        <v>-4.1698861940768051E-2</v>
      </c>
      <c r="E130" s="52">
        <v>0</v>
      </c>
    </row>
    <row r="131" spans="1:5" x14ac:dyDescent="0.25">
      <c r="A131" s="52">
        <v>1</v>
      </c>
      <c r="B131" s="52">
        <v>130</v>
      </c>
      <c r="C131" s="53">
        <f>nsiv.io!H41</f>
        <v>0.29164924261054204</v>
      </c>
      <c r="D131" s="53">
        <f>nsiv.io!I41</f>
        <v>-4.148495856516525E-2</v>
      </c>
      <c r="E131" s="52">
        <v>0</v>
      </c>
    </row>
    <row r="132" spans="1:5" x14ac:dyDescent="0.25">
      <c r="A132" s="52">
        <v>1</v>
      </c>
      <c r="B132" s="52">
        <v>131</v>
      </c>
      <c r="C132" s="53">
        <f>nsiv.io!H42</f>
        <v>0.30149996299463094</v>
      </c>
      <c r="D132" s="53">
        <f>nsiv.io!I42</f>
        <v>-4.1248519785237484E-2</v>
      </c>
      <c r="E132" s="52">
        <v>0</v>
      </c>
    </row>
    <row r="133" spans="1:5" x14ac:dyDescent="0.25">
      <c r="A133" s="52">
        <v>1</v>
      </c>
      <c r="B133" s="52">
        <v>132</v>
      </c>
      <c r="C133" s="53">
        <f>nsiv.io!H43</f>
        <v>0.31134952845796704</v>
      </c>
      <c r="D133" s="53">
        <f>nsiv.io!I43</f>
        <v>-4.0991542576312254E-2</v>
      </c>
      <c r="E133" s="52">
        <v>0</v>
      </c>
    </row>
    <row r="134" spans="1:5" x14ac:dyDescent="0.25">
      <c r="A134" s="52">
        <v>1</v>
      </c>
      <c r="B134" s="52">
        <v>133</v>
      </c>
      <c r="C134" s="53">
        <f>nsiv.io!H44</f>
        <v>0.32119831796549764</v>
      </c>
      <c r="D134" s="53">
        <f>nsiv.io!I44</f>
        <v>-4.0715898274880646E-2</v>
      </c>
      <c r="E134" s="52">
        <v>0</v>
      </c>
    </row>
    <row r="135" spans="1:5" x14ac:dyDescent="0.25">
      <c r="A135" s="52">
        <v>1</v>
      </c>
      <c r="B135" s="52">
        <v>134</v>
      </c>
      <c r="C135" s="53">
        <f>nsiv.io!H45</f>
        <v>0.33104668978263369</v>
      </c>
      <c r="D135" s="53">
        <f>nsiv.io!I45</f>
        <v>-4.0423344721923438E-2</v>
      </c>
      <c r="E135" s="52">
        <v>0</v>
      </c>
    </row>
    <row r="136" spans="1:5" x14ac:dyDescent="0.25">
      <c r="A136" s="52">
        <v>1</v>
      </c>
      <c r="B136" s="52">
        <v>135</v>
      </c>
      <c r="C136" s="53">
        <f>nsiv.io!H46</f>
        <v>0.34089498305133131</v>
      </c>
      <c r="D136" s="53">
        <f>nsiv.io!I46</f>
        <v>-4.0115536755417722E-2</v>
      </c>
      <c r="E136" s="52">
        <v>0</v>
      </c>
    </row>
    <row r="137" spans="1:5" x14ac:dyDescent="0.25">
      <c r="A137" s="52">
        <v>1</v>
      </c>
      <c r="B137" s="52">
        <v>136</v>
      </c>
      <c r="C137" s="53">
        <f>nsiv.io!H47</f>
        <v>0.35074351919147123</v>
      </c>
      <c r="D137" s="53">
        <f>nsiv.io!I47</f>
        <v>-3.9794035317698914E-2</v>
      </c>
      <c r="E137" s="52">
        <v>0</v>
      </c>
    </row>
    <row r="138" spans="1:5" x14ac:dyDescent="0.25">
      <c r="A138" s="52">
        <v>1</v>
      </c>
      <c r="B138" s="52">
        <v>137</v>
      </c>
      <c r="C138" s="53">
        <f>nsiv.io!H48</f>
        <v>0.36059260315394298</v>
      </c>
      <c r="D138" s="53">
        <f>nsiv.io!I48</f>
        <v>-3.946031539430199E-2</v>
      </c>
      <c r="E138" s="52">
        <v>0</v>
      </c>
    </row>
    <row r="139" spans="1:5" x14ac:dyDescent="0.25">
      <c r="A139" s="52">
        <v>1</v>
      </c>
      <c r="B139" s="52">
        <v>138</v>
      </c>
      <c r="C139" s="53">
        <f>nsiv.io!H49</f>
        <v>0.3704425245472151</v>
      </c>
      <c r="D139" s="53">
        <f>nsiv.io!I49</f>
        <v>-3.9115772962016016E-2</v>
      </c>
      <c r="E139" s="52">
        <v>0</v>
      </c>
    </row>
    <row r="140" spans="1:5" x14ac:dyDescent="0.25">
      <c r="A140" s="52">
        <v>1</v>
      </c>
      <c r="B140" s="52">
        <v>139</v>
      </c>
      <c r="C140" s="53">
        <f>nsiv.io!H50</f>
        <v>0.38029355865546421</v>
      </c>
      <c r="D140" s="53">
        <f>nsiv.io!I50</f>
        <v>-3.8761731092837461E-2</v>
      </c>
      <c r="E140" s="52">
        <v>0</v>
      </c>
    </row>
    <row r="141" spans="1:5" x14ac:dyDescent="0.25">
      <c r="A141" s="52">
        <v>1</v>
      </c>
      <c r="B141" s="52">
        <v>140</v>
      </c>
      <c r="C141" s="53">
        <f>nsiv.io!H51</f>
        <v>0.3901459673633389</v>
      </c>
      <c r="D141" s="53">
        <f>nsiv.io!I51</f>
        <v>-3.8399445335549981E-2</v>
      </c>
      <c r="E141" s="52">
        <v>0</v>
      </c>
    </row>
    <row r="142" spans="1:5" x14ac:dyDescent="0.25">
      <c r="A142" s="52">
        <v>1</v>
      </c>
      <c r="B142" s="52">
        <v>141</v>
      </c>
      <c r="C142" s="53">
        <f>nsiv.io!H52</f>
        <v>0.4</v>
      </c>
      <c r="D142" s="53">
        <f>nsiv.io!I52</f>
        <v>-3.8030108476479016E-2</v>
      </c>
      <c r="E142" s="52">
        <v>0</v>
      </c>
    </row>
    <row r="143" spans="1:5" x14ac:dyDescent="0.25">
      <c r="A143" s="52">
        <v>1</v>
      </c>
      <c r="B143" s="52">
        <v>142</v>
      </c>
      <c r="C143" s="53">
        <f>nsiv.io!H53</f>
        <v>0.40993595277853906</v>
      </c>
      <c r="D143" s="53">
        <f>nsiv.io!I53</f>
        <v>-3.7648054870405595E-2</v>
      </c>
      <c r="E143" s="52">
        <v>0</v>
      </c>
    </row>
    <row r="144" spans="1:5" x14ac:dyDescent="0.25">
      <c r="A144" s="52">
        <v>1</v>
      </c>
      <c r="B144" s="52">
        <v>143</v>
      </c>
      <c r="C144" s="53">
        <f>nsiv.io!H54</f>
        <v>0.41987283258293223</v>
      </c>
      <c r="D144" s="53">
        <f>nsiv.io!I54</f>
        <v>-3.7247559902704196E-2</v>
      </c>
      <c r="E144" s="52">
        <v>0</v>
      </c>
    </row>
    <row r="145" spans="1:5" x14ac:dyDescent="0.25">
      <c r="A145" s="52">
        <v>1</v>
      </c>
      <c r="B145" s="52">
        <v>144</v>
      </c>
      <c r="C145" s="53">
        <f>nsiv.io!H55</f>
        <v>0.42981073451772894</v>
      </c>
      <c r="D145" s="53">
        <f>nsiv.io!I55</f>
        <v>-3.6829644681321591E-2</v>
      </c>
      <c r="E145" s="52">
        <v>0</v>
      </c>
    </row>
    <row r="146" spans="1:5" x14ac:dyDescent="0.25">
      <c r="A146" s="52">
        <v>1</v>
      </c>
      <c r="B146" s="52">
        <v>145</v>
      </c>
      <c r="C146" s="53">
        <f>nsiv.io!H56</f>
        <v>0.43974974936810218</v>
      </c>
      <c r="D146" s="53">
        <f>nsiv.io!I56</f>
        <v>-3.6395281065901938E-2</v>
      </c>
      <c r="E146" s="52">
        <v>0</v>
      </c>
    </row>
    <row r="147" spans="1:5" x14ac:dyDescent="0.25">
      <c r="A147" s="52">
        <v>1</v>
      </c>
      <c r="B147" s="52">
        <v>146</v>
      </c>
      <c r="C147" s="53">
        <f>nsiv.io!H57</f>
        <v>0.44968996385820176</v>
      </c>
      <c r="D147" s="53">
        <f>nsiv.io!I57</f>
        <v>-3.5945394412572683E-2</v>
      </c>
      <c r="E147" s="52">
        <v>0</v>
      </c>
    </row>
    <row r="148" spans="1:5" x14ac:dyDescent="0.25">
      <c r="A148" s="52">
        <v>1</v>
      </c>
      <c r="B148" s="52">
        <v>147</v>
      </c>
      <c r="C148" s="53">
        <f>nsiv.io!H58</f>
        <v>0.45963146089303097</v>
      </c>
      <c r="D148" s="53">
        <f>nsiv.io!I58</f>
        <v>-3.5480866045352909E-2</v>
      </c>
      <c r="E148" s="52">
        <v>0</v>
      </c>
    </row>
    <row r="149" spans="1:5" x14ac:dyDescent="0.25">
      <c r="A149" s="52">
        <v>1</v>
      </c>
      <c r="B149" s="52">
        <v>148</v>
      </c>
      <c r="C149" s="53">
        <f>nsiv.io!H59</f>
        <v>0.46957431978572034</v>
      </c>
      <c r="D149" s="53">
        <f>nsiv.io!I59</f>
        <v>-3.5002535486745839E-2</v>
      </c>
      <c r="E149" s="52">
        <v>0</v>
      </c>
    </row>
    <row r="150" spans="1:5" x14ac:dyDescent="0.25">
      <c r="A150" s="52">
        <v>1</v>
      </c>
      <c r="B150" s="52">
        <v>149</v>
      </c>
      <c r="C150" s="53">
        <f>nsiv.io!H60</f>
        <v>0.47951861647182187</v>
      </c>
      <c r="D150" s="53">
        <f>nsiv.io!I60</f>
        <v>-3.451120247559572E-2</v>
      </c>
      <c r="E150" s="52">
        <v>0</v>
      </c>
    </row>
    <row r="151" spans="1:5" x14ac:dyDescent="0.25">
      <c r="A151" s="52">
        <v>1</v>
      </c>
      <c r="B151" s="52">
        <v>150</v>
      </c>
      <c r="C151" s="53">
        <f>nsiv.io!H61</f>
        <v>0.48946442371203497</v>
      </c>
      <c r="D151" s="53">
        <f>nsiv.io!I61</f>
        <v>-3.4007628796503861E-2</v>
      </c>
      <c r="E151" s="52">
        <v>0</v>
      </c>
    </row>
    <row r="152" spans="1:5" x14ac:dyDescent="0.25">
      <c r="A152" s="52">
        <v>1</v>
      </c>
      <c r="B152" s="52">
        <v>151</v>
      </c>
      <c r="C152" s="53">
        <f>nsiv.io!H62</f>
        <v>0.49941181128459627</v>
      </c>
      <c r="D152" s="53">
        <f>nsiv.io!I62</f>
        <v>-3.3492539941890741E-2</v>
      </c>
      <c r="E152" s="52">
        <v>0</v>
      </c>
    </row>
    <row r="153" spans="1:5" x14ac:dyDescent="0.25">
      <c r="A153" s="52">
        <v>1</v>
      </c>
      <c r="B153" s="52">
        <v>152</v>
      </c>
      <c r="C153" s="53">
        <f>nsiv.io!H63</f>
        <v>0.50936084616840971</v>
      </c>
      <c r="D153" s="53">
        <f>nsiv.io!I63</f>
        <v>-3.2966626625061703E-2</v>
      </c>
      <c r="E153" s="52">
        <v>0</v>
      </c>
    </row>
    <row r="154" spans="1:5" x14ac:dyDescent="0.25">
      <c r="A154" s="52">
        <v>1</v>
      </c>
      <c r="B154" s="52">
        <v>153</v>
      </c>
      <c r="C154" s="53">
        <f>nsiv.io!H64</f>
        <v>0.51931159271786265</v>
      </c>
      <c r="D154" s="53">
        <f>nsiv.io!I64</f>
        <v>-3.243054616030451E-2</v>
      </c>
      <c r="E154" s="52">
        <v>0</v>
      </c>
    </row>
    <row r="155" spans="1:5" x14ac:dyDescent="0.25">
      <c r="A155" s="52">
        <v>1</v>
      </c>
      <c r="B155" s="52">
        <v>154</v>
      </c>
      <c r="C155" s="53">
        <f>nsiv.io!H65</f>
        <v>0.52926411283015884</v>
      </c>
      <c r="D155" s="53">
        <f>nsiv.io!I65</f>
        <v>-3.1884923724051523E-2</v>
      </c>
      <c r="E155" s="52">
        <v>0</v>
      </c>
    </row>
    <row r="156" spans="1:5" x14ac:dyDescent="0.25">
      <c r="A156" s="52">
        <v>1</v>
      </c>
      <c r="B156" s="52">
        <v>155</v>
      </c>
      <c r="C156" s="53">
        <f>nsiv.io!H66</f>
        <v>0.53921846610590274</v>
      </c>
      <c r="D156" s="53">
        <f>nsiv.io!I66</f>
        <v>-3.1330353509426506E-2</v>
      </c>
      <c r="E156" s="52">
        <v>0</v>
      </c>
    </row>
    <row r="157" spans="1:5" x14ac:dyDescent="0.25">
      <c r="A157" s="52">
        <v>1</v>
      </c>
      <c r="B157" s="52">
        <v>156</v>
      </c>
      <c r="C157" s="53">
        <f>nsiv.io!H67</f>
        <v>0.54917471000358309</v>
      </c>
      <c r="D157" s="53">
        <f>nsiv.io!I67</f>
        <v>-3.0767399785017382E-2</v>
      </c>
      <c r="E157" s="52">
        <v>0</v>
      </c>
    </row>
    <row r="158" spans="1:5" x14ac:dyDescent="0.25">
      <c r="A158" s="52">
        <v>1</v>
      </c>
      <c r="B158" s="52">
        <v>157</v>
      </c>
      <c r="C158" s="53">
        <f>nsiv.io!H68</f>
        <v>0.55913289998852944</v>
      </c>
      <c r="D158" s="53">
        <f>nsiv.io!I68</f>
        <v>-3.0196597867442512E-2</v>
      </c>
      <c r="E158" s="52">
        <v>0</v>
      </c>
    </row>
    <row r="159" spans="1:5" x14ac:dyDescent="0.25">
      <c r="A159" s="52">
        <v>1</v>
      </c>
      <c r="B159" s="52">
        <v>158</v>
      </c>
      <c r="C159" s="53">
        <f>nsiv.io!H69</f>
        <v>0.56909308967685501</v>
      </c>
      <c r="D159" s="53">
        <f>nsiv.io!I69</f>
        <v>-2.9618455016169797E-2</v>
      </c>
      <c r="E159" s="52">
        <v>0</v>
      </c>
    </row>
    <row r="160" spans="1:5" x14ac:dyDescent="0.25">
      <c r="A160" s="52">
        <v>1</v>
      </c>
      <c r="B160" s="52">
        <v>159</v>
      </c>
      <c r="C160" s="53">
        <f>nsiv.io!H70</f>
        <v>0.57905533097483819</v>
      </c>
      <c r="D160" s="53">
        <f>nsiv.io!I70</f>
        <v>-2.9033451258088174E-2</v>
      </c>
      <c r="E160" s="52">
        <v>0</v>
      </c>
    </row>
    <row r="161" spans="1:5" x14ac:dyDescent="0.25">
      <c r="A161" s="52">
        <v>1</v>
      </c>
      <c r="B161" s="52">
        <v>160</v>
      </c>
      <c r="C161" s="53">
        <f>nsiv.io!H71</f>
        <v>0.58901967421414902</v>
      </c>
      <c r="D161" s="53">
        <f>nsiv.io!I71</f>
        <v>-2.8442040148493601E-2</v>
      </c>
      <c r="E161" s="52">
        <v>0</v>
      </c>
    </row>
    <row r="162" spans="1:5" x14ac:dyDescent="0.25">
      <c r="A162" s="52">
        <v>1</v>
      </c>
      <c r="B162" s="52">
        <v>161</v>
      </c>
      <c r="C162" s="53">
        <f>nsiv.io!H72</f>
        <v>0.59898616828328444</v>
      </c>
      <c r="D162" s="53">
        <f>nsiv.io!I72</f>
        <v>-2.7844649474420061E-2</v>
      </c>
      <c r="E162" s="52">
        <v>0</v>
      </c>
    </row>
    <row r="163" spans="1:5" x14ac:dyDescent="0.25">
      <c r="A163" s="52">
        <v>1</v>
      </c>
      <c r="B163" s="52">
        <v>162</v>
      </c>
      <c r="C163" s="53">
        <f>nsiv.io!H73</f>
        <v>0.60895486075553584</v>
      </c>
      <c r="D163" s="53">
        <f>nsiv.io!I73</f>
        <v>-2.7241681905606479E-2</v>
      </c>
      <c r="E163" s="52">
        <v>0</v>
      </c>
    </row>
    <row r="164" spans="1:5" x14ac:dyDescent="0.25">
      <c r="A164" s="52">
        <v>1</v>
      </c>
      <c r="B164" s="52">
        <v>163</v>
      </c>
      <c r="C164" s="53">
        <f>nsiv.io!H74</f>
        <v>0.61892579801378145</v>
      </c>
      <c r="D164" s="53">
        <f>nsiv.io!I74</f>
        <v>-2.6633515597828349E-2</v>
      </c>
      <c r="E164" s="52">
        <v>0</v>
      </c>
    </row>
    <row r="165" spans="1:5" x14ac:dyDescent="0.25">
      <c r="A165" s="52">
        <v>1</v>
      </c>
      <c r="B165" s="52">
        <v>164</v>
      </c>
      <c r="C165" s="53">
        <f>nsiv.io!H75</f>
        <v>0.62889902537236597</v>
      </c>
      <c r="D165" s="53">
        <f>nsiv.io!I75</f>
        <v>-2.6020504752828546E-2</v>
      </c>
      <c r="E165" s="52">
        <v>0</v>
      </c>
    </row>
    <row r="166" spans="1:5" x14ac:dyDescent="0.25">
      <c r="A166" s="52">
        <v>1</v>
      </c>
      <c r="B166" s="52">
        <v>165</v>
      </c>
      <c r="C166" s="53">
        <f>nsiv.io!H76</f>
        <v>0.63887458719630275</v>
      </c>
      <c r="D166" s="53">
        <f>nsiv.io!I76</f>
        <v>-2.5402980138647797E-2</v>
      </c>
      <c r="E166" s="52">
        <v>0</v>
      </c>
    </row>
    <row r="167" spans="1:5" x14ac:dyDescent="0.25">
      <c r="A167" s="52">
        <v>1</v>
      </c>
      <c r="B167" s="52">
        <v>166</v>
      </c>
      <c r="C167" s="53">
        <f>nsiv.io!H77</f>
        <v>0.64885252701801266</v>
      </c>
      <c r="D167" s="53">
        <f>nsiv.io!I77</f>
        <v>-2.4781249573768312E-2</v>
      </c>
      <c r="E167" s="52">
        <v>0</v>
      </c>
    </row>
    <row r="168" spans="1:5" x14ac:dyDescent="0.25">
      <c r="A168" s="52">
        <v>1</v>
      </c>
      <c r="B168" s="52">
        <v>167</v>
      </c>
      <c r="C168" s="53">
        <f>nsiv.io!H78</f>
        <v>0.65883288765179182</v>
      </c>
      <c r="D168" s="53">
        <f>nsiv.io!I78</f>
        <v>-2.4155598378146251E-2</v>
      </c>
      <c r="E168" s="52">
        <v>0</v>
      </c>
    </row>
    <row r="169" spans="1:5" x14ac:dyDescent="0.25">
      <c r="A169" s="52">
        <v>1</v>
      </c>
      <c r="B169" s="52">
        <v>168</v>
      </c>
      <c r="C169" s="53">
        <f>nsiv.io!H79</f>
        <v>0.66881571130618289</v>
      </c>
      <c r="D169" s="53">
        <f>nsiv.io!I79</f>
        <v>-2.3526289793905277E-2</v>
      </c>
      <c r="E169" s="52">
        <v>0</v>
      </c>
    </row>
    <row r="170" spans="1:5" x14ac:dyDescent="0.25">
      <c r="A170" s="52">
        <v>1</v>
      </c>
      <c r="B170" s="52">
        <v>169</v>
      </c>
      <c r="C170" s="53">
        <f>nsiv.io!H80</f>
        <v>0.67880103969440686</v>
      </c>
      <c r="D170" s="53">
        <f>nsiv.io!I80</f>
        <v>-2.2893565378195216E-2</v>
      </c>
      <c r="E170" s="52">
        <v>0</v>
      </c>
    </row>
    <row r="171" spans="1:5" x14ac:dyDescent="0.25">
      <c r="A171" s="52">
        <v>1</v>
      </c>
      <c r="B171" s="52">
        <v>170</v>
      </c>
      <c r="C171" s="53">
        <f>nsiv.io!H81</f>
        <v>0.68878891414300047</v>
      </c>
      <c r="D171" s="53">
        <f>nsiv.io!I81</f>
        <v>-2.2257645370483043E-2</v>
      </c>
      <c r="E171" s="52">
        <v>0</v>
      </c>
    </row>
    <row r="172" spans="1:5" x14ac:dyDescent="0.25">
      <c r="A172" s="52">
        <v>1</v>
      </c>
      <c r="B172" s="52">
        <v>171</v>
      </c>
      <c r="C172" s="53">
        <f>nsiv.io!H82</f>
        <v>0.69877937569878901</v>
      </c>
      <c r="D172" s="53">
        <f>nsiv.io!I82</f>
        <v>-2.1618729036327833E-2</v>
      </c>
      <c r="E172" s="52">
        <v>0</v>
      </c>
    </row>
    <row r="173" spans="1:5" x14ac:dyDescent="0.25">
      <c r="A173" s="52">
        <v>1</v>
      </c>
      <c r="B173" s="52">
        <v>172</v>
      </c>
      <c r="C173" s="53">
        <f>nsiv.io!H83</f>
        <v>0.70877246523431214</v>
      </c>
      <c r="D173" s="53">
        <f>nsiv.io!I83</f>
        <v>-2.0976994989503752E-2</v>
      </c>
      <c r="E173" s="52">
        <v>0</v>
      </c>
    </row>
    <row r="174" spans="1:5" x14ac:dyDescent="0.25">
      <c r="A174" s="52">
        <v>1</v>
      </c>
      <c r="B174" s="52">
        <v>173</v>
      </c>
      <c r="C174" s="53">
        <f>nsiv.io!H84</f>
        <v>0.71876822355181247</v>
      </c>
      <c r="D174" s="53">
        <f>nsiv.io!I84</f>
        <v>-2.0332601494163473E-2</v>
      </c>
      <c r="E174" s="52">
        <v>0</v>
      </c>
    </row>
    <row r="175" spans="1:5" x14ac:dyDescent="0.25">
      <c r="A175" s="52">
        <v>1</v>
      </c>
      <c r="B175" s="52">
        <v>174</v>
      </c>
      <c r="C175" s="53">
        <f>nsiv.io!H85</f>
        <v>0.72876669148588524</v>
      </c>
      <c r="D175" s="53">
        <f>nsiv.io!I85</f>
        <v>-1.9685686748582742E-2</v>
      </c>
      <c r="E175" s="52">
        <v>0</v>
      </c>
    </row>
    <row r="176" spans="1:5" x14ac:dyDescent="0.25">
      <c r="A176" s="52">
        <v>1</v>
      </c>
      <c r="B176" s="52">
        <v>175</v>
      </c>
      <c r="C176" s="53">
        <f>nsiv.io!H86</f>
        <v>0.73876791000487918</v>
      </c>
      <c r="D176" s="53">
        <f>nsiv.io!I86</f>
        <v>-1.9036369151889772E-2</v>
      </c>
      <c r="E176" s="52">
        <v>0</v>
      </c>
    </row>
    <row r="177" spans="1:5" x14ac:dyDescent="0.25">
      <c r="A177" s="52">
        <v>1</v>
      </c>
      <c r="B177" s="52">
        <v>176</v>
      </c>
      <c r="C177" s="53">
        <f>nsiv.io!H87</f>
        <v>0.74877192031113038</v>
      </c>
      <c r="D177" s="53">
        <f>nsiv.io!I87</f>
        <v>-1.8384747555060615E-2</v>
      </c>
      <c r="E177" s="52">
        <v>0</v>
      </c>
    </row>
    <row r="178" spans="1:5" x14ac:dyDescent="0.25">
      <c r="A178" s="52">
        <v>1</v>
      </c>
      <c r="B178" s="52">
        <v>177</v>
      </c>
      <c r="C178" s="53">
        <f>nsiv.io!H88</f>
        <v>0.75877876394010602</v>
      </c>
      <c r="D178" s="53">
        <f>nsiv.io!I88</f>
        <v>-1.7730901497349585E-2</v>
      </c>
      <c r="E178" s="52">
        <v>0</v>
      </c>
    </row>
    <row r="179" spans="1:5" x14ac:dyDescent="0.25">
      <c r="A179" s="52">
        <v>1</v>
      </c>
      <c r="B179" s="52">
        <v>178</v>
      </c>
      <c r="C179" s="53">
        <f>nsiv.io!H89</f>
        <v>0.76878848285852686</v>
      </c>
      <c r="D179" s="53">
        <f>nsiv.io!I89</f>
        <v>-1.7074891429226483E-2</v>
      </c>
      <c r="E179" s="52">
        <v>0</v>
      </c>
    </row>
    <row r="180" spans="1:5" x14ac:dyDescent="0.25">
      <c r="A180" s="52">
        <v>1</v>
      </c>
      <c r="B180" s="52">
        <v>179</v>
      </c>
      <c r="C180" s="53">
        <f>nsiv.io!H90</f>
        <v>0.7788011195615312</v>
      </c>
      <c r="D180" s="53">
        <f>nsiv.io!I90</f>
        <v>-1.6416758922798938E-2</v>
      </c>
      <c r="E180" s="52">
        <v>0</v>
      </c>
    </row>
    <row r="181" spans="1:5" x14ac:dyDescent="0.25">
      <c r="A181" s="52">
        <v>1</v>
      </c>
      <c r="B181" s="52">
        <v>180</v>
      </c>
      <c r="C181" s="53">
        <f>nsiv.io!H91</f>
        <v>0.78881671716893986</v>
      </c>
      <c r="D181" s="53">
        <f>nsiv.io!I91</f>
        <v>-1.5756526870620416E-2</v>
      </c>
      <c r="E181" s="52">
        <v>0</v>
      </c>
    </row>
    <row r="182" spans="1:5" x14ac:dyDescent="0.25">
      <c r="A182" s="52">
        <v>1</v>
      </c>
      <c r="B182" s="52">
        <v>181</v>
      </c>
      <c r="C182" s="53">
        <f>nsiv.io!H92</f>
        <v>0.79883531952067477</v>
      </c>
      <c r="D182" s="53">
        <f>nsiv.io!I92</f>
        <v>-1.5094199673706756E-2</v>
      </c>
      <c r="E182" s="52">
        <v>0</v>
      </c>
    </row>
    <row r="183" spans="1:5" x14ac:dyDescent="0.25">
      <c r="A183" s="52">
        <v>1</v>
      </c>
      <c r="B183" s="52">
        <v>182</v>
      </c>
      <c r="C183" s="53">
        <f>nsiv.io!H93</f>
        <v>0.80885697127138234</v>
      </c>
      <c r="D183" s="53">
        <f>nsiv.io!I93</f>
        <v>-1.4429763419520939E-2</v>
      </c>
      <c r="E183" s="52">
        <v>0</v>
      </c>
    </row>
    <row r="184" spans="1:5" x14ac:dyDescent="0.25">
      <c r="A184" s="52">
        <v>1</v>
      </c>
      <c r="B184" s="52">
        <v>183</v>
      </c>
      <c r="C184" s="53">
        <f>nsiv.io!H94</f>
        <v>0.8188817179843042</v>
      </c>
      <c r="D184" s="53">
        <f>nsiv.io!I94</f>
        <v>-1.3763186050622307E-2</v>
      </c>
      <c r="E184" s="52">
        <v>0</v>
      </c>
    </row>
    <row r="185" spans="1:5" x14ac:dyDescent="0.25">
      <c r="A185" s="52">
        <v>1</v>
      </c>
      <c r="B185" s="52">
        <v>184</v>
      </c>
      <c r="C185" s="53">
        <f>nsiv.io!H95</f>
        <v>0.82890960622444088</v>
      </c>
      <c r="D185" s="53">
        <f>nsiv.io!I95</f>
        <v>-1.3094417524622592E-2</v>
      </c>
      <c r="E185" s="52">
        <v>0</v>
      </c>
    </row>
    <row r="186" spans="1:5" x14ac:dyDescent="0.25">
      <c r="A186" s="52">
        <v>1</v>
      </c>
      <c r="B186" s="52">
        <v>185</v>
      </c>
      <c r="C186" s="53">
        <f>nsiv.io!H96</f>
        <v>0.83894068365104291</v>
      </c>
      <c r="D186" s="53">
        <f>nsiv.io!I96</f>
        <v>-1.2423389966040775E-2</v>
      </c>
      <c r="E186" s="52">
        <v>0</v>
      </c>
    </row>
    <row r="187" spans="1:5" x14ac:dyDescent="0.25">
      <c r="A187" s="52">
        <v>1</v>
      </c>
      <c r="B187" s="52">
        <v>186</v>
      </c>
      <c r="C187" s="53">
        <f>nsiv.io!H97</f>
        <v>0.84897499910946983</v>
      </c>
      <c r="D187" s="53">
        <f>nsiv.io!I97</f>
        <v>-1.1750017810602828E-2</v>
      </c>
      <c r="E187" s="52">
        <v>0</v>
      </c>
    </row>
    <row r="188" spans="1:5" x14ac:dyDescent="0.25">
      <c r="A188" s="52">
        <v>1</v>
      </c>
      <c r="B188" s="52">
        <v>187</v>
      </c>
      <c r="C188" s="53">
        <f>nsiv.io!H98</f>
        <v>0.85901260272244551</v>
      </c>
      <c r="D188" s="53">
        <f>nsiv.io!I98</f>
        <v>-1.1074197942490868E-2</v>
      </c>
      <c r="E188" s="52">
        <v>0</v>
      </c>
    </row>
    <row r="189" spans="1:5" x14ac:dyDescent="0.25">
      <c r="A189" s="52">
        <v>1</v>
      </c>
      <c r="B189" s="52">
        <v>188</v>
      </c>
      <c r="C189" s="53">
        <f>nsiv.io!H99</f>
        <v>0.86905354598074336</v>
      </c>
      <c r="D189" s="53">
        <f>nsiv.io!I99</f>
        <v>-1.0395809825008217E-2</v>
      </c>
      <c r="E189" s="52">
        <v>0</v>
      </c>
    </row>
    <row r="190" spans="1:5" x14ac:dyDescent="0.25">
      <c r="A190" s="52">
        <v>1</v>
      </c>
      <c r="B190" s="52">
        <v>189</v>
      </c>
      <c r="C190" s="53">
        <f>nsiv.io!H100</f>
        <v>0.87909788183332849</v>
      </c>
      <c r="D190" s="53">
        <f>nsiv.io!I100</f>
        <v>-9.7147156250913646E-3</v>
      </c>
      <c r="E190" s="52">
        <v>0</v>
      </c>
    </row>
    <row r="191" spans="1:5" x14ac:dyDescent="0.25">
      <c r="A191" s="52">
        <v>1</v>
      </c>
      <c r="B191" s="52">
        <v>190</v>
      </c>
      <c r="C191" s="53">
        <f>nsiv.io!H101</f>
        <v>0.88914566477698243</v>
      </c>
      <c r="D191" s="53">
        <f>nsiv.io!I101</f>
        <v>-9.0307603320697698E-3</v>
      </c>
      <c r="E191" s="52">
        <v>0</v>
      </c>
    </row>
    <row r="192" spans="1:5" x14ac:dyDescent="0.25">
      <c r="A192" s="52">
        <v>1</v>
      </c>
      <c r="B192" s="52">
        <v>191</v>
      </c>
      <c r="C192" s="53">
        <f>nsiv.io!H102</f>
        <v>0.89919695094543595</v>
      </c>
      <c r="D192" s="53">
        <f>nsiv.io!I102</f>
        <v>-8.3437718710424585E-3</v>
      </c>
      <c r="E192" s="52">
        <v>0</v>
      </c>
    </row>
    <row r="193" spans="1:5" x14ac:dyDescent="0.25">
      <c r="A193" s="52">
        <v>1</v>
      </c>
      <c r="B193" s="52">
        <v>192</v>
      </c>
      <c r="C193" s="53">
        <f>nsiv.io!H103</f>
        <v>0.90925179819803104</v>
      </c>
      <c r="D193" s="53">
        <f>nsiv.io!I103</f>
        <v>-7.6535612112171511E-3</v>
      </c>
      <c r="E193" s="52">
        <v>0</v>
      </c>
    </row>
    <row r="194" spans="1:5" x14ac:dyDescent="0.25">
      <c r="A194" s="52">
        <v>1</v>
      </c>
      <c r="B194" s="52">
        <v>193</v>
      </c>
      <c r="C194" s="53">
        <f>nsiv.io!H104</f>
        <v>0.91931026620793344</v>
      </c>
      <c r="D194" s="53">
        <f>nsiv.io!I104</f>
        <v>-6.959922469529034E-3</v>
      </c>
      <c r="E194" s="52">
        <v>0</v>
      </c>
    </row>
    <row r="195" spans="1:5" x14ac:dyDescent="0.25">
      <c r="A195" s="52">
        <v>1</v>
      </c>
      <c r="B195" s="52">
        <v>194</v>
      </c>
      <c r="C195" s="53">
        <f>nsiv.io!H105</f>
        <v>0.92937241654991454</v>
      </c>
      <c r="D195" s="53">
        <f>nsiv.io!I105</f>
        <v>-6.2626330098379344E-3</v>
      </c>
      <c r="E195" s="52">
        <v>0</v>
      </c>
    </row>
    <row r="196" spans="1:5" x14ac:dyDescent="0.25">
      <c r="A196" s="52">
        <v>1</v>
      </c>
      <c r="B196" s="52">
        <v>195</v>
      </c>
      <c r="C196" s="53">
        <f>nsiv.io!H106</f>
        <v>0.93943831278772127</v>
      </c>
      <c r="D196" s="53">
        <f>nsiv.io!I106</f>
        <v>-5.5614535379785567E-3</v>
      </c>
      <c r="E196" s="52">
        <v>0</v>
      </c>
    </row>
    <row r="197" spans="1:5" x14ac:dyDescent="0.25">
      <c r="A197" s="52">
        <v>1</v>
      </c>
      <c r="B197" s="52">
        <v>196</v>
      </c>
      <c r="C197" s="53">
        <f>nsiv.io!H107</f>
        <v>0.94950802056104988</v>
      </c>
      <c r="D197" s="53">
        <f>nsiv.io!I107</f>
        <v>-4.8561281929212063E-3</v>
      </c>
      <c r="E197" s="52">
        <v>0</v>
      </c>
    </row>
    <row r="198" spans="1:5" x14ac:dyDescent="0.25">
      <c r="A198" s="52">
        <v>1</v>
      </c>
      <c r="B198" s="52">
        <v>197</v>
      </c>
      <c r="C198" s="53">
        <f>nsiv.io!H108</f>
        <v>0.95958160767213851</v>
      </c>
      <c r="D198" s="53">
        <f>nsiv.io!I108</f>
        <v>-4.1463846342819919E-3</v>
      </c>
      <c r="E198" s="52">
        <v>0</v>
      </c>
    </row>
    <row r="199" spans="1:5" x14ac:dyDescent="0.25">
      <c r="A199" s="52">
        <v>1</v>
      </c>
      <c r="B199" s="52">
        <v>198</v>
      </c>
      <c r="C199" s="53">
        <f>nsiv.io!H109</f>
        <v>0.96965914417199428</v>
      </c>
      <c r="D199" s="53">
        <f>nsiv.io!I109</f>
        <v>-3.4319341264061522E-3</v>
      </c>
      <c r="E199" s="52">
        <v>0</v>
      </c>
    </row>
    <row r="200" spans="1:5" x14ac:dyDescent="0.25">
      <c r="A200" s="52">
        <v>1</v>
      </c>
      <c r="B200" s="52">
        <v>199</v>
      </c>
      <c r="C200" s="53">
        <f>nsiv.io!H110</f>
        <v>0.97974070244626676</v>
      </c>
      <c r="D200" s="53">
        <f>nsiv.io!I110</f>
        <v>-2.7124716192319866E-3</v>
      </c>
      <c r="E200" s="52">
        <v>0</v>
      </c>
    </row>
    <row r="201" spans="1:5" x14ac:dyDescent="0.25">
      <c r="A201" s="52">
        <v>1</v>
      </c>
      <c r="B201" s="52">
        <v>200</v>
      </c>
      <c r="C201" s="53">
        <f>nsiv.io!H111</f>
        <v>0.98982635730078083</v>
      </c>
      <c r="D201" s="53">
        <f>nsiv.io!I111</f>
        <v>-1.9876758261300012E-3</v>
      </c>
      <c r="E201" s="52">
        <v>0</v>
      </c>
    </row>
    <row r="202" spans="1:5" x14ac:dyDescent="0.25">
      <c r="A202" s="52">
        <v>1</v>
      </c>
      <c r="B202" s="52">
        <v>201</v>
      </c>
      <c r="C202" s="53">
        <f>nsiv.io!H112</f>
        <v>0.99991618604674004</v>
      </c>
      <c r="D202" s="53">
        <f>nsiv.io!I112</f>
        <v>-1.2572092988993051E-3</v>
      </c>
      <c r="E202" s="52">
        <v>0</v>
      </c>
    </row>
  </sheetData>
  <sortState xmlns:xlrd2="http://schemas.microsoft.com/office/spreadsheetml/2017/richdata2" ref="H2:J102">
    <sortCondition descending="1" ref="H2:H1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nsiv.io</vt:lpstr>
      <vt:lpstr>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Zeus Olympus</dc:creator>
  <cp:lastModifiedBy>Zeus Olympus</cp:lastModifiedBy>
  <dcterms:created xsi:type="dcterms:W3CDTF">2022-01-31T21:20:08Z</dcterms:created>
  <dcterms:modified xsi:type="dcterms:W3CDTF">2022-02-01T23:21:14Z</dcterms:modified>
</cp:coreProperties>
</file>